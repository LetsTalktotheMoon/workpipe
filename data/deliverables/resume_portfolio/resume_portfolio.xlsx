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Job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Data>
    <row r="1">
      <c r="A1" t="inlineStr">
        <is>
          <t>company_name</t>
        </is>
      </c>
      <c r="B1" t="inlineStr">
        <is>
          <t>publish_time</t>
        </is>
      </c>
      <c r="C1" t="inlineStr">
        <is>
          <t>job_id</t>
        </is>
      </c>
      <c r="D1" t="inlineStr">
        <is>
          <t>title</t>
        </is>
      </c>
      <c r="E1" t="inlineStr">
        <is>
          <t>application_status</t>
        </is>
      </c>
      <c r="F1" t="inlineStr">
        <is>
          <t>source_kind</t>
        </is>
      </c>
      <c r="G1" t="inlineStr">
        <is>
          <t>route_mode</t>
        </is>
      </c>
      <c r="H1" t="inlineStr">
        <is>
          <t>seed_id</t>
        </is>
      </c>
      <c r="I1" t="inlineStr">
        <is>
          <t>seed_label</t>
        </is>
      </c>
      <c r="J1" t="inlineStr">
        <is>
          <t>primary_subseed_id</t>
        </is>
      </c>
      <c r="K1" t="inlineStr">
        <is>
          <t>primary_subseed_kind</t>
        </is>
      </c>
      <c r="L1" t="inlineStr">
        <is>
          <t>is_outlier</t>
        </is>
      </c>
      <c r="M1" t="inlineStr">
        <is>
          <t>outlier_label</t>
        </is>
      </c>
      <c r="N1" t="inlineStr">
        <is>
          <t>final_score</t>
        </is>
      </c>
      <c r="O1" t="inlineStr">
        <is>
          <t>verdict</t>
        </is>
      </c>
      <c r="P1" t="inlineStr">
        <is>
          <t>resume_md</t>
        </is>
      </c>
      <c r="Q1" t="inlineStr">
        <is>
          <t>resume_pdf</t>
        </is>
      </c>
      <c r="R1" t="inlineStr">
        <is>
          <t>apply_link</t>
        </is>
      </c>
    </row>
    <row r="2">
      <c r="A2" t="inlineStr">
        <is>
          <t>Nokia</t>
        </is>
      </c>
      <c r="B2" t="inlineStr">
        <is>
          <t>2026-04-08 08:03:25</t>
        </is>
      </c>
      <c r="C2" t="inlineStr">
        <is>
          <t>69b622b956973837413b6091</t>
        </is>
      </c>
      <c r="D2" t="inlineStr">
        <is>
          <t>Quality Assurance Software Development Engineer</t>
        </is>
      </c>
      <c r="E2" t="inlineStr">
        <is>
          <t>1_Discovered</t>
        </is>
      </c>
      <c r="F2" t="inlineStr">
        <is>
          <t>local_unified_pipeline</t>
        </is>
      </c>
      <c r="G2" t="inlineStr">
        <is>
          <t>retarget</t>
        </is>
      </c>
      <c r="H2" t="inlineStr">
        <is>
          <t>seed_magnite_sdet</t>
        </is>
      </c>
      <c r="I2" t="inlineStr">
        <is>
          <t>Magnite SDET</t>
        </is>
      </c>
      <c r="J2"/>
      <c r="K2"/>
      <c r="L2"/>
      <c r="M2"/>
      <c r="N2">
        <v>95.9</v>
      </c>
      <c r="O2" t="inlineStr">
        <is>
          <t>pass</t>
        </is>
      </c>
      <c r="P2">
        <f>HYPERLINK("file:///Users/jingyizhang/Documents/Playground/projects/local_job_resume_pipeline/data/deliverables/resume_portfolio/by_company/nokia/2026-04-08/69b622b956973837413b6091/resume.md","/Users/jingyizhang/Documents/Playground/projects/local_job_resume_pipeline/data/deliverables/resume_portfolio/by_company/nokia/2026-04-08/69b622b956973837413b6091/resume.md")</f>
      </c>
      <c r="Q2"/>
      <c r="R2">
        <f>HYPERLINK("https://fa-evmr-saasfaprod1.fa.ocs.oraclecloud.com/hcmUI/CandidateExperience/en/job/23181/?utm_medium=jobshare&amp;src=SNS-102","https://fa-evmr-saasfaprod1.fa.ocs.oraclecloud.com/hcmUI/CandidateExperience/en/job/23181/?utm_medium=jobshare&amp;src=SNS-102")</f>
      </c>
    </row>
    <row r="3">
      <c r="A3" t="inlineStr">
        <is>
          <t>General Motors</t>
        </is>
      </c>
      <c r="B3" t="inlineStr">
        <is>
          <t>2026-04-08 07:58:55</t>
        </is>
      </c>
      <c r="C3" t="inlineStr">
        <is>
          <t>69ac98f42747003c3d523072</t>
        </is>
      </c>
      <c r="D3" t="inlineStr">
        <is>
          <t>Senior Software Engineer - Autonomy Evaluation</t>
        </is>
      </c>
      <c r="E3" t="inlineStr">
        <is>
          <t>1_Discovered</t>
        </is>
      </c>
      <c r="F3" t="inlineStr">
        <is>
          <t>local_unified_pipeline</t>
        </is>
      </c>
      <c r="G3" t="inlineStr">
        <is>
          <t>new_seed</t>
        </is>
      </c>
      <c r="H3"/>
      <c r="I3"/>
      <c r="J3"/>
      <c r="K3"/>
      <c r="L3"/>
      <c r="M3"/>
      <c r="N3">
        <v>93.3</v>
      </c>
      <c r="O3" t="inlineStr">
        <is>
          <t>pass</t>
        </is>
      </c>
      <c r="P3">
        <f>HYPERLINK("file:///Users/jingyizhang/Documents/Playground/projects/local_job_resume_pipeline/data/deliverables/resume_portfolio/by_company/general-motors/2026-04-08/69ac98f42747003c3d523072/resume.md","/Users/jingyizhang/Documents/Playground/projects/local_job_resume_pipeline/data/deliverables/resume_portfolio/by_company/general-motors/2026-04-08/69ac98f42747003c3d523072/resume.md")</f>
      </c>
      <c r="Q3"/>
      <c r="R3">
        <f>HYPERLINK("https://generalmotors.wd5.myworkdayjobs.com/Careers_GM/job/Sunnyvale-California-United-States-of-America/Senior-ML-AI-Software-Engineer---Evaluation-Insights_JR-202519722?source=LinkedIn","https://generalmotors.wd5.myworkdayjobs.com/Careers_GM/job/Sunnyvale-California-United-States-of-America/Senior-ML-AI-Software-Engineer---Evaluation-Insights_JR-202519722?source=LinkedIn")</f>
      </c>
    </row>
    <row r="4">
      <c r="A4" t="inlineStr">
        <is>
          <t>Microsoft</t>
        </is>
      </c>
      <c r="B4" t="inlineStr">
        <is>
          <t>2026-04-08 07:57:58</t>
        </is>
      </c>
      <c r="C4" t="inlineStr">
        <is>
          <t>69d650d6706f771673baa2b8</t>
        </is>
      </c>
      <c r="D4" t="inlineStr">
        <is>
          <t>Senior Software Engineer</t>
        </is>
      </c>
      <c r="E4" t="inlineStr">
        <is>
          <t>1_Discovered</t>
        </is>
      </c>
      <c r="F4" t="inlineStr">
        <is>
          <t>local_unified_pipeline</t>
        </is>
      </c>
      <c r="G4" t="inlineStr">
        <is>
          <t>reuse</t>
        </is>
      </c>
      <c r="H4" t="inlineStr">
        <is>
          <t>seed_microsoft_coreai_platform_anchor</t>
        </is>
      </c>
      <c r="I4" t="inlineStr">
        <is>
          <t>Microsoft CoreAI/BIC Platform Anchor</t>
        </is>
      </c>
      <c r="J4"/>
      <c r="K4"/>
      <c r="L4"/>
      <c r="M4"/>
      <c r="N4"/>
      <c r="O4"/>
      <c r="P4"/>
      <c r="Q4"/>
      <c r="R4">
        <f>HYPERLINK("https://apply.careers.microsoft.com/careers/job/1970393556856881?utm_source=linkedin&amp;domain=microsoft.com&amp;src=LinkedIn","https://apply.careers.microsoft.com/careers/job/1970393556856881?utm_source=linkedin&amp;domain=microsoft.com&amp;src=LinkedIn")</f>
      </c>
    </row>
    <row r="5">
      <c r="A5" t="inlineStr">
        <is>
          <t>Microsoft</t>
        </is>
      </c>
      <c r="B5" t="inlineStr">
        <is>
          <t>2026-04-08 07:57:51</t>
        </is>
      </c>
      <c r="C5" t="inlineStr">
        <is>
          <t>69d650cfe63cea7a8b6685f9</t>
        </is>
      </c>
      <c r="D5" t="inlineStr">
        <is>
          <t>Technical Program Manager</t>
        </is>
      </c>
      <c r="E5" t="inlineStr">
        <is>
          <t>1_Discovered</t>
        </is>
      </c>
      <c r="F5" t="inlineStr">
        <is>
          <t>local_unified_pipeline</t>
        </is>
      </c>
      <c r="G5" t="inlineStr">
        <is>
          <t>new_seed</t>
        </is>
      </c>
      <c r="H5"/>
      <c r="I5"/>
      <c r="J5"/>
      <c r="K5"/>
      <c r="L5"/>
      <c r="M5"/>
      <c r="N5">
        <v>94.4</v>
      </c>
      <c r="O5" t="inlineStr">
        <is>
          <t>pass</t>
        </is>
      </c>
      <c r="P5">
        <f>HYPERLINK("file:///Users/jingyizhang/Documents/Playground/projects/local_job_resume_pipeline/data/deliverables/resume_portfolio/by_company/microsoft/2026-04-08/69d650cfe63cea7a8b6685f9/resume.md","/Users/jingyizhang/Documents/Playground/projects/local_job_resume_pipeline/data/deliverables/resume_portfolio/by_company/microsoft/2026-04-08/69d650cfe63cea7a8b6685f9/resume.md")</f>
      </c>
      <c r="Q5"/>
      <c r="R5">
        <f>HYPERLINK("https://apply.careers.microsoft.com/careers/job/1970393556856000?utm_source=linkedin&amp;domain=microsoft.com&amp;src=LinkedIn","https://apply.careers.microsoft.com/careers/job/1970393556856000?utm_source=linkedin&amp;domain=microsoft.com&amp;src=LinkedIn")</f>
      </c>
    </row>
    <row r="6">
      <c r="A6" t="inlineStr">
        <is>
          <t>ByteDance</t>
        </is>
      </c>
      <c r="B6" t="inlineStr">
        <is>
          <t>2026-04-08 07:57:29</t>
        </is>
      </c>
      <c r="C6" t="inlineStr">
        <is>
          <t>69d650b9e63cea7a8b6685db</t>
        </is>
      </c>
      <c r="D6" t="inlineStr">
        <is>
          <t>Software Engineer, Backend and Infrastructure</t>
        </is>
      </c>
      <c r="E6" t="inlineStr">
        <is>
          <t>1_Discovered</t>
        </is>
      </c>
      <c r="F6" t="inlineStr">
        <is>
          <t>local_unified_pipeline</t>
        </is>
      </c>
      <c r="G6" t="inlineStr">
        <is>
          <t>retarget</t>
        </is>
      </c>
      <c r="H6" t="inlineStr">
        <is>
          <t>seed_cisco_backend_api</t>
        </is>
      </c>
      <c r="I6" t="inlineStr">
        <is>
          <t>Cisco Backend API</t>
        </is>
      </c>
      <c r="J6"/>
      <c r="K6"/>
      <c r="L6"/>
      <c r="M6"/>
      <c r="N6">
        <v>87.0</v>
      </c>
      <c r="O6" t="inlineStr">
        <is>
          <t>pending</t>
        </is>
      </c>
      <c r="P6">
        <f>HYPERLINK("file:///Users/jingyizhang/Documents/Playground/projects/local_job_resume_pipeline/data/deliverables/resume_portfolio/by_company/bytedance/2026-04-08/69d650b9e63cea7a8b6685db/resume.md","/Users/jingyizhang/Documents/Playground/projects/local_job_resume_pipeline/data/deliverables/resume_portfolio/by_company/bytedance/2026-04-08/69d650b9e63cea7a8b6685db/resume.md")</f>
      </c>
      <c r="Q6"/>
      <c r="R6">
        <f>HYPERLINK("https://www.linkedin.com/jobs/view/4396301017","https://www.linkedin.com/jobs/view/4396301017")</f>
      </c>
    </row>
    <row r="7">
      <c r="A7" t="inlineStr">
        <is>
          <t>Amazon</t>
        </is>
      </c>
      <c r="B7" t="inlineStr">
        <is>
          <t>2026-04-08 07:57:09</t>
        </is>
      </c>
      <c r="C7" t="inlineStr">
        <is>
          <t>699d6a6d81476f6176b63dce</t>
        </is>
      </c>
      <c r="D7" t="inlineStr">
        <is>
          <t>SDE- ML Engineer, Frontier AI Robotics</t>
        </is>
      </c>
      <c r="E7" t="inlineStr">
        <is>
          <t>1_Discovered</t>
        </is>
      </c>
      <c r="F7" t="inlineStr">
        <is>
          <t>local_unified_pipeline</t>
        </is>
      </c>
      <c r="G7" t="inlineStr">
        <is>
          <t>retarget</t>
        </is>
      </c>
      <c r="H7" t="inlineStr">
        <is>
          <t>seed_amazon_agi_ml_anchor</t>
        </is>
      </c>
      <c r="I7" t="inlineStr">
        <is>
          <t>Amazon AGI/LLM Anchor</t>
        </is>
      </c>
      <c r="J7" t="inlineStr">
        <is>
          <t>amazon_ai_ads_mainline</t>
        </is>
      </c>
      <c r="K7" t="inlineStr">
        <is>
          <t>mainline</t>
        </is>
      </c>
      <c r="L7"/>
      <c r="M7"/>
      <c r="N7">
        <v>94.2</v>
      </c>
      <c r="O7" t="inlineStr">
        <is>
          <t>pass</t>
        </is>
      </c>
      <c r="P7">
        <f>HYPERLINK("file:///Users/jingyizhang/Documents/Playground/projects/local_job_resume_pipeline/data/deliverables/resume_portfolio/by_company/amazon/2026-04-08/699d6a6d81476f6176b63dce/resume.md","/Users/jingyizhang/Documents/Playground/projects/local_job_resume_pipeline/data/deliverables/resume_portfolio/by_company/amazon/2026-04-08/699d6a6d81476f6176b63dce/resume.md")</f>
      </c>
      <c r="Q7"/>
      <c r="R7">
        <f>HYPERLINK("https://www.amazon.jobs/jobs/3127822/sde-ml-engineer-frontier-ai-robotics?cmpid=SPLICX0248M&amp;utm_source=linkedin.com&amp;utm_campaign=cxro&amp;utm_medium=social_media&amp;utm_content=job_posting&amp;ss=paid","https://www.amazon.jobs/jobs/3127822/sde-ml-engineer-frontier-ai-robotics?cmpid=SPLICX0248M&amp;utm_source=linkedin.com&amp;utm_campaign=cxro&amp;utm_medium=social_media&amp;utm_content=job_posting&amp;ss=paid")</f>
      </c>
    </row>
    <row r="8">
      <c r="A8" t="inlineStr">
        <is>
          <t>Microsoft</t>
        </is>
      </c>
      <c r="B8" t="inlineStr">
        <is>
          <t>2026-04-08 07:54:51</t>
        </is>
      </c>
      <c r="C8" t="inlineStr">
        <is>
          <t>69d6501bcfdc6132f9469623</t>
        </is>
      </c>
      <c r="D8" t="inlineStr">
        <is>
          <t>Senior Software Engineer, CoreAI Workload Engines</t>
        </is>
      </c>
      <c r="E8" t="inlineStr">
        <is>
          <t>1_Discovered</t>
        </is>
      </c>
      <c r="F8" t="inlineStr">
        <is>
          <t>local_unified_pipeline</t>
        </is>
      </c>
      <c r="G8" t="inlineStr">
        <is>
          <t>retarget</t>
        </is>
      </c>
      <c r="H8" t="inlineStr">
        <is>
          <t>seed_microsoft_coreai_platform_anchor</t>
        </is>
      </c>
      <c r="I8" t="inlineStr">
        <is>
          <t>Microsoft CoreAI/BIC Platform Anchor</t>
        </is>
      </c>
      <c r="J8"/>
      <c r="K8"/>
      <c r="L8"/>
      <c r="M8"/>
      <c r="N8">
        <v>95.3</v>
      </c>
      <c r="O8" t="inlineStr">
        <is>
          <t>pass</t>
        </is>
      </c>
      <c r="P8">
        <f>HYPERLINK("file:///Users/jingyizhang/Documents/Playground/projects/local_job_resume_pipeline/data/deliverables/resume_portfolio/by_company/microsoft/2026-04-08/69d6501bcfdc6132f9469623/resume.md","/Users/jingyizhang/Documents/Playground/projects/local_job_resume_pipeline/data/deliverables/resume_portfolio/by_company/microsoft/2026-04-08/69d6501bcfdc6132f9469623/resume.md")</f>
      </c>
      <c r="Q8"/>
      <c r="R8">
        <f>HYPERLINK("https://apply.careers.microsoft.com/careers/job/1970393556857255?utm_source=linkedin&amp;domain=microsoft.com&amp;src=LinkedIn","https://apply.careers.microsoft.com/careers/job/1970393556857255?utm_source=linkedin&amp;domain=microsoft.com&amp;src=LinkedIn")</f>
      </c>
    </row>
    <row r="9">
      <c r="A9" t="inlineStr">
        <is>
          <t>Microsoft</t>
        </is>
      </c>
      <c r="B9" t="inlineStr">
        <is>
          <t>2026-04-08 07:54:46</t>
        </is>
      </c>
      <c r="C9" t="inlineStr">
        <is>
          <t>69d65016cfdc6132f946961a</t>
        </is>
      </c>
      <c r="D9" t="inlineStr">
        <is>
          <t>Software Engineer II</t>
        </is>
      </c>
      <c r="E9" t="inlineStr">
        <is>
          <t>1_Discovered</t>
        </is>
      </c>
      <c r="F9" t="inlineStr">
        <is>
          <t>local_unified_pipeline</t>
        </is>
      </c>
      <c r="G9" t="inlineStr">
        <is>
          <t>retarget</t>
        </is>
      </c>
      <c r="H9" t="inlineStr">
        <is>
          <t>seed_microsoft_coreai_platform_anchor</t>
        </is>
      </c>
      <c r="I9" t="inlineStr">
        <is>
          <t>Microsoft CoreAI/BIC Platform Anchor</t>
        </is>
      </c>
      <c r="J9"/>
      <c r="K9"/>
      <c r="L9"/>
      <c r="M9"/>
      <c r="N9">
        <v>94.0</v>
      </c>
      <c r="O9" t="inlineStr">
        <is>
          <t>pass</t>
        </is>
      </c>
      <c r="P9">
        <f>HYPERLINK("file:///Users/jingyizhang/Documents/Playground/projects/local_job_resume_pipeline/data/deliverables/resume_portfolio/by_company/microsoft/2026-04-08/69d65016cfdc6132f946961a/resume.md","/Users/jingyizhang/Documents/Playground/projects/local_job_resume_pipeline/data/deliverables/resume_portfolio/by_company/microsoft/2026-04-08/69d65016cfdc6132f946961a/resume.md")</f>
      </c>
      <c r="Q9"/>
      <c r="R9">
        <f>HYPERLINK("https://apply.careers.microsoft.com/careers/job/1970393556853526?utm_source=linkedin&amp;domain=microsoft.com&amp;src=LinkedIn","https://apply.careers.microsoft.com/careers/job/1970393556853526?utm_source=linkedin&amp;domain=microsoft.com&amp;src=LinkedIn")</f>
      </c>
    </row>
    <row r="10">
      <c r="A10" t="inlineStr">
        <is>
          <t>Microsoft</t>
        </is>
      </c>
      <c r="B10" t="inlineStr">
        <is>
          <t>2026-04-08 07:54:36</t>
        </is>
      </c>
      <c r="C10" t="inlineStr">
        <is>
          <t>69d6500ccfdc6132f9469614</t>
        </is>
      </c>
      <c r="D10" t="inlineStr">
        <is>
          <t>Senior Software Engineer (Backend)</t>
        </is>
      </c>
      <c r="E10" t="inlineStr">
        <is>
          <t>1_Discovered</t>
        </is>
      </c>
      <c r="F10" t="inlineStr">
        <is>
          <t>local_unified_pipeline</t>
        </is>
      </c>
      <c r="G10" t="inlineStr">
        <is>
          <t>reuse</t>
        </is>
      </c>
      <c r="H10" t="inlineStr">
        <is>
          <t>seed_microsoft_coreai_platform_anchor</t>
        </is>
      </c>
      <c r="I10" t="inlineStr">
        <is>
          <t>Microsoft CoreAI/BIC Platform Anchor</t>
        </is>
      </c>
      <c r="J10"/>
      <c r="K10"/>
      <c r="L10"/>
      <c r="M10"/>
      <c r="N10"/>
      <c r="O10"/>
      <c r="P10"/>
      <c r="Q10"/>
      <c r="R10">
        <f>HYPERLINK("https://apply.careers.microsoft.com/careers/job/1970393556856282?utm_source=linkedin&amp;domain=microsoft.com&amp;src=LinkedIn","https://apply.careers.microsoft.com/careers/job/1970393556856282?utm_source=linkedin&amp;domain=microsoft.com&amp;src=LinkedIn")</f>
      </c>
    </row>
    <row r="11">
      <c r="A11" t="inlineStr">
        <is>
          <t>Microsoft</t>
        </is>
      </c>
      <c r="B11" t="inlineStr">
        <is>
          <t>2026-04-08 07:54:34</t>
        </is>
      </c>
      <c r="C11" t="inlineStr">
        <is>
          <t>69d6500a48f0c8161d2f74d8</t>
        </is>
      </c>
      <c r="D11" t="inlineStr">
        <is>
          <t>Software Engineer</t>
        </is>
      </c>
      <c r="E11" t="inlineStr">
        <is>
          <t>1_Discovered</t>
        </is>
      </c>
      <c r="F11" t="inlineStr">
        <is>
          <t>local_unified_pipeline</t>
        </is>
      </c>
      <c r="G11" t="inlineStr">
        <is>
          <t>reuse</t>
        </is>
      </c>
      <c r="H11" t="inlineStr">
        <is>
          <t>seed_microsoft_coreai_platform_anchor</t>
        </is>
      </c>
      <c r="I11" t="inlineStr">
        <is>
          <t>Microsoft CoreAI/BIC Platform Anchor</t>
        </is>
      </c>
      <c r="J11"/>
      <c r="K11"/>
      <c r="L11"/>
      <c r="M11"/>
      <c r="N11"/>
      <c r="O11"/>
      <c r="P11"/>
      <c r="Q11"/>
      <c r="R11">
        <f>HYPERLINK("https://apply.careers.microsoft.com/careers/job/1970393556620143?utm_source=linkedin&amp;domain=microsoft.com&amp;src=LinkedIn","https://apply.careers.microsoft.com/careers/job/1970393556620143?utm_source=linkedin&amp;domain=microsoft.com&amp;src=LinkedIn")</f>
      </c>
    </row>
    <row r="12">
      <c r="A12" t="inlineStr">
        <is>
          <t>Microsoft</t>
        </is>
      </c>
      <c r="B12" t="inlineStr">
        <is>
          <t>2026-04-08 07:54:19</t>
        </is>
      </c>
      <c r="C12" t="inlineStr">
        <is>
          <t>69d64ffb366bb95ba554c1d3</t>
        </is>
      </c>
      <c r="D12" t="inlineStr">
        <is>
          <t>Senior Software Engineer - Backend</t>
        </is>
      </c>
      <c r="E12" t="inlineStr">
        <is>
          <t>1_Discovered</t>
        </is>
      </c>
      <c r="F12" t="inlineStr">
        <is>
          <t>local_unified_pipeline</t>
        </is>
      </c>
      <c r="G12" t="inlineStr">
        <is>
          <t>reuse</t>
        </is>
      </c>
      <c r="H12" t="inlineStr">
        <is>
          <t>seed_microsoft_coreai_platform_anchor</t>
        </is>
      </c>
      <c r="I12" t="inlineStr">
        <is>
          <t>Microsoft CoreAI/BIC Platform Anchor</t>
        </is>
      </c>
      <c r="J12"/>
      <c r="K12"/>
      <c r="L12"/>
      <c r="M12"/>
      <c r="N12"/>
      <c r="O12"/>
      <c r="P12"/>
      <c r="Q12"/>
      <c r="R12">
        <f>HYPERLINK("https://apply.careers.microsoft.com/careers/job/1970393556856441?utm_source=linkedin&amp;domain=microsoft.com&amp;src=LinkedIn","https://apply.careers.microsoft.com/careers/job/1970393556856441?utm_source=linkedin&amp;domain=microsoft.com&amp;src=LinkedIn")</f>
      </c>
    </row>
    <row r="13">
      <c r="A13" t="inlineStr">
        <is>
          <t>Microsoft</t>
        </is>
      </c>
      <c r="B13" t="inlineStr">
        <is>
          <t>2026-04-08 07:54:07</t>
        </is>
      </c>
      <c r="C13" t="inlineStr">
        <is>
          <t>69d64fef366bb95ba554c1c4</t>
        </is>
      </c>
      <c r="D13" t="inlineStr">
        <is>
          <t>Senior Software Engineer -Azure Kubernetes Service</t>
        </is>
      </c>
      <c r="E13" t="inlineStr">
        <is>
          <t>1_Discovered</t>
        </is>
      </c>
      <c r="F13" t="inlineStr">
        <is>
          <t>local_unified_pipeline</t>
        </is>
      </c>
      <c r="G13" t="inlineStr">
        <is>
          <t>reuse</t>
        </is>
      </c>
      <c r="H13" t="inlineStr">
        <is>
          <t>seed_microsoft_coreai_platform_anchor</t>
        </is>
      </c>
      <c r="I13" t="inlineStr">
        <is>
          <t>Microsoft CoreAI/BIC Platform Anchor</t>
        </is>
      </c>
      <c r="J13"/>
      <c r="K13"/>
      <c r="L13"/>
      <c r="M13"/>
      <c r="N13"/>
      <c r="O13"/>
      <c r="P13"/>
      <c r="Q13"/>
      <c r="R13">
        <f>HYPERLINK("https://apply.careers.microsoft.com/careers/job/1970393556650749?utm_source=linkedin&amp;domain=microsoft.com&amp;src=LinkedIn","https://apply.careers.microsoft.com/careers/job/1970393556650749?utm_source=linkedin&amp;domain=microsoft.com&amp;src=LinkedIn")</f>
      </c>
    </row>
    <row r="14">
      <c r="A14" t="inlineStr">
        <is>
          <t>Amazon</t>
        </is>
      </c>
      <c r="B14" t="inlineStr">
        <is>
          <t>2026-04-08 07:53:09</t>
        </is>
      </c>
      <c r="C14" t="inlineStr">
        <is>
          <t>69bb8bef569738374141a09c</t>
        </is>
      </c>
      <c r="D14" t="inlineStr">
        <is>
          <t>Data Scientist, Demand Forecasting</t>
        </is>
      </c>
      <c r="E14" t="inlineStr">
        <is>
          <t>1_Discovered</t>
        </is>
      </c>
      <c r="F14" t="inlineStr">
        <is>
          <t>local_unified_pipeline</t>
        </is>
      </c>
      <c r="G14" t="inlineStr">
        <is>
          <t>reuse</t>
        </is>
      </c>
      <c r="H14" t="inlineStr">
        <is>
          <t>seed_amazon_agi_ml_anchor</t>
        </is>
      </c>
      <c r="I14" t="inlineStr">
        <is>
          <t>Amazon AGI/LLM Anchor</t>
        </is>
      </c>
      <c r="J14" t="inlineStr">
        <is>
          <t>amazon_ai_ads_mainline</t>
        </is>
      </c>
      <c r="K14" t="inlineStr">
        <is>
          <t>mainline</t>
        </is>
      </c>
      <c r="L14"/>
      <c r="M14"/>
      <c r="N14"/>
      <c r="O14"/>
      <c r="P14"/>
      <c r="Q14"/>
      <c r="R14">
        <f>HYPERLINK("https://www.amazon.jobs/jobs/3206851/data-scientist-demand-forecasting?cmpid=SPLICX0248M&amp;utm_source=linkedin.com&amp;utm_campaign=cxro&amp;utm_medium=social_media&amp;utm_content=job_posting&amp;ss=paid","https://www.amazon.jobs/jobs/3206851/data-scientist-demand-forecasting?cmpid=SPLICX0248M&amp;utm_source=linkedin.com&amp;utm_campaign=cxro&amp;utm_medium=social_media&amp;utm_content=job_posting&amp;ss=paid")</f>
      </c>
    </row>
    <row r="15">
      <c r="A15" t="inlineStr">
        <is>
          <t>Google</t>
        </is>
      </c>
      <c r="B15" t="inlineStr">
        <is>
          <t>2026-04-08 07:53:00</t>
        </is>
      </c>
      <c r="C15" t="inlineStr">
        <is>
          <t>69ba9dd95697383741406e1b</t>
        </is>
      </c>
      <c r="D15" t="inlineStr">
        <is>
          <t>Software Engineer, Shopping Quality</t>
        </is>
      </c>
      <c r="E15" t="inlineStr">
        <is>
          <t>1_Discovered</t>
        </is>
      </c>
      <c r="F15" t="inlineStr">
        <is>
          <t>local_unified_pipeline</t>
        </is>
      </c>
      <c r="G15" t="inlineStr">
        <is>
          <t>new_seed</t>
        </is>
      </c>
      <c r="H15"/>
      <c r="I15"/>
      <c r="J15"/>
      <c r="K15"/>
      <c r="L15"/>
      <c r="M15"/>
      <c r="N15">
        <v>95.0</v>
      </c>
      <c r="O15" t="inlineStr">
        <is>
          <t>pass</t>
        </is>
      </c>
      <c r="P15">
        <f>HYPERLINK("file:///Users/jingyizhang/Documents/Playground/projects/local_job_resume_pipeline/data/deliverables/resume_portfolio/by_company/google/2026-04-08/69ba9dd95697383741406e1b/resume.md","/Users/jingyizhang/Documents/Playground/projects/local_job_resume_pipeline/data/deliverables/resume_portfolio/by_company/google/2026-04-08/69ba9dd95697383741406e1b/resume.md")</f>
      </c>
      <c r="Q15"/>
      <c r="R15">
        <f>HYPERLINK("https://careers.google.com/jobs/results/82077133681107654-software-engineer/?src=Online/LinkedIn/linkedin_us&amp;utm_source=linkedin&amp;utm_medium=jobposting&amp;utm_campaign=contract","https://careers.google.com/jobs/results/82077133681107654-software-engineer/?src=Online/LinkedIn/linkedin_us&amp;utm_source=linkedin&amp;utm_medium=jobposting&amp;utm_campaign=contract")</f>
      </c>
    </row>
    <row r="16">
      <c r="A16" t="inlineStr">
        <is>
          <t>Microsoft</t>
        </is>
      </c>
      <c r="B16" t="inlineStr">
        <is>
          <t>2026-04-08 07:52:34</t>
        </is>
      </c>
      <c r="C16" t="inlineStr">
        <is>
          <t>69d64f92706f771673baa293</t>
        </is>
      </c>
      <c r="D16" t="inlineStr">
        <is>
          <t>Software Engineer II - Azure Storage</t>
        </is>
      </c>
      <c r="E16" t="inlineStr">
        <is>
          <t>1_Discovered</t>
        </is>
      </c>
      <c r="F16" t="inlineStr">
        <is>
          <t>local_unified_pipeline</t>
        </is>
      </c>
      <c r="G16" t="inlineStr">
        <is>
          <t>retarget</t>
        </is>
      </c>
      <c r="H16" t="inlineStr">
        <is>
          <t>seed_microsoft_coreai_platform_anchor</t>
        </is>
      </c>
      <c r="I16" t="inlineStr">
        <is>
          <t>Microsoft CoreAI/BIC Platform Anchor</t>
        </is>
      </c>
      <c r="J16"/>
      <c r="K16"/>
      <c r="L16"/>
      <c r="M16"/>
      <c r="N16">
        <v>94.4</v>
      </c>
      <c r="O16" t="inlineStr">
        <is>
          <t>pass</t>
        </is>
      </c>
      <c r="P16">
        <f>HYPERLINK("file:///Users/jingyizhang/Documents/Playground/projects/local_job_resume_pipeline/data/deliverables/resume_portfolio/by_company/microsoft/2026-04-08/69d64f92706f771673baa293/resume.md","/Users/jingyizhang/Documents/Playground/projects/local_job_resume_pipeline/data/deliverables/resume_portfolio/by_company/microsoft/2026-04-08/69d64f92706f771673baa293/resume.md")</f>
      </c>
      <c r="Q16"/>
      <c r="R16">
        <f>HYPERLINK("https://apply.careers.microsoft.com/careers/job/1970393556619657?utm_source=linkedin&amp;domain=microsoft.com&amp;src=LinkedIn","https://apply.careers.microsoft.com/careers/job/1970393556619657?utm_source=linkedin&amp;domain=microsoft.com&amp;src=LinkedIn")</f>
      </c>
    </row>
    <row r="17">
      <c r="A17" t="inlineStr">
        <is>
          <t>Google</t>
        </is>
      </c>
      <c r="B17" t="inlineStr">
        <is>
          <t>2026-04-08 07:37:54</t>
        </is>
      </c>
      <c r="C17" t="inlineStr">
        <is>
          <t>69ba969206c1ba00c54cb81f</t>
        </is>
      </c>
      <c r="D17" t="inlineStr">
        <is>
          <t>Software Engineer, Ridgeline Engineering</t>
        </is>
      </c>
      <c r="E17" t="inlineStr">
        <is>
          <t>1_Discovered</t>
        </is>
      </c>
      <c r="F17" t="inlineStr">
        <is>
          <t>local_unified_pipeline</t>
        </is>
      </c>
      <c r="G17" t="inlineStr">
        <is>
          <t>reuse</t>
        </is>
      </c>
      <c r="H17" t="inlineStr">
        <is>
          <t>seed_codex_google_fullstack</t>
        </is>
      </c>
      <c r="I17" t="inlineStr">
        <is>
          <t>Google Full Stack</t>
        </is>
      </c>
      <c r="J17" t="inlineStr">
        <is>
          <t>google_product_ai_mainline</t>
        </is>
      </c>
      <c r="K17" t="inlineStr">
        <is>
          <t>mainline</t>
        </is>
      </c>
      <c r="L17"/>
      <c r="M17"/>
      <c r="N17"/>
      <c r="O17"/>
      <c r="P17"/>
      <c r="Q17"/>
      <c r="R17">
        <f>HYPERLINK("https://careers.google.com/jobs/results/73551314360902342-software-engineer/?src=Online/LinkedIn/linkedin_us&amp;utm_source=linkedin&amp;utm_medium=jobposting&amp;utm_campaign=contract","https://careers.google.com/jobs/results/73551314360902342-software-engineer/?src=Online/LinkedIn/linkedin_us&amp;utm_source=linkedin&amp;utm_medium=jobposting&amp;utm_campaign=contract")</f>
      </c>
    </row>
    <row r="18">
      <c r="A18" t="inlineStr">
        <is>
          <t>Google</t>
        </is>
      </c>
      <c r="B18" t="inlineStr">
        <is>
          <t>2026-04-08 07:37:50</t>
        </is>
      </c>
      <c r="C18" t="inlineStr">
        <is>
          <t>69ba92be06c1ba00c54cb3d5</t>
        </is>
      </c>
      <c r="D18" t="inlineStr">
        <is>
          <t>Software Engineer, Generative AI Media, Vertex AI</t>
        </is>
      </c>
      <c r="E18" t="inlineStr">
        <is>
          <t>1_Discovered</t>
        </is>
      </c>
      <c r="F18" t="inlineStr">
        <is>
          <t>local_unified_pipeline</t>
        </is>
      </c>
      <c r="G18" t="inlineStr">
        <is>
          <t>retarget</t>
        </is>
      </c>
      <c r="H18" t="inlineStr">
        <is>
          <t>seed_google_geo_aiml_anchor</t>
        </is>
      </c>
      <c r="I18" t="inlineStr">
        <is>
          <t>Google Workspace/Geo AIML Anchor</t>
        </is>
      </c>
      <c r="J18" t="inlineStr">
        <is>
          <t>google_product_ai_mainline</t>
        </is>
      </c>
      <c r="K18" t="inlineStr">
        <is>
          <t>mainline</t>
        </is>
      </c>
      <c r="L18"/>
      <c r="M18"/>
      <c r="N18">
        <v>94.9</v>
      </c>
      <c r="O18" t="inlineStr">
        <is>
          <t>pass</t>
        </is>
      </c>
      <c r="P18">
        <f>HYPERLINK("file:///Users/jingyizhang/Documents/Playground/projects/local_job_resume_pipeline/data/deliverables/resume_portfolio/by_company/google/2026-04-08/69ba92be06c1ba00c54cb3d5/resume.md","/Users/jingyizhang/Documents/Playground/projects/local_job_resume_pipeline/data/deliverables/resume_portfolio/by_company/google/2026-04-08/69ba92be06c1ba00c54cb3d5/resume.md")</f>
      </c>
      <c r="Q18"/>
      <c r="R18">
        <f>HYPERLINK("https://careers.google.com/jobs/results/142994355647324870-software-engineer/?src=Online/LinkedIn/linkedin_us&amp;utm_source=linkedin&amp;utm_medium=jobposting&amp;utm_campaign=contract","https://careers.google.com/jobs/results/142994355647324870-software-engineer/?src=Online/LinkedIn/linkedin_us&amp;utm_source=linkedin&amp;utm_medium=jobposting&amp;utm_campaign=contract")</f>
      </c>
    </row>
    <row r="19">
      <c r="A19" t="inlineStr">
        <is>
          <t>SS&amp;C Technologies</t>
        </is>
      </c>
      <c r="B19" t="inlineStr">
        <is>
          <t>2026-04-08 07:35:53</t>
        </is>
      </c>
      <c r="C19" t="inlineStr">
        <is>
          <t>69d64ba948f0c8161d2f7366</t>
        </is>
      </c>
      <c r="D19" t="inlineStr">
        <is>
          <t>Salesforce Developer</t>
        </is>
      </c>
      <c r="E19" t="inlineStr">
        <is>
          <t>1_Discovered</t>
        </is>
      </c>
      <c r="F19" t="inlineStr">
        <is>
          <t>local_unified_pipeline</t>
        </is>
      </c>
      <c r="G19" t="inlineStr">
        <is>
          <t>retarget</t>
        </is>
      </c>
      <c r="H19" t="inlineStr">
        <is>
          <t>seed_generalist_dotnet_enterprise</t>
        </is>
      </c>
      <c r="I19" t="inlineStr">
        <is>
          <t>Generalist DotNet Enterprise</t>
        </is>
      </c>
      <c r="J19"/>
      <c r="K19"/>
      <c r="L19"/>
      <c r="M19"/>
      <c r="N19">
        <v>95.4</v>
      </c>
      <c r="O19" t="inlineStr">
        <is>
          <t>pass</t>
        </is>
      </c>
      <c r="P19">
        <f>HYPERLINK("file:///Users/jingyizhang/Documents/Playground/projects/local_job_resume_pipeline/data/deliverables/resume_portfolio/by_company/ss-c-technologies/2026-04-08/69d64ba948f0c8161d2f7366/resume.md","/Users/jingyizhang/Documents/Playground/projects/local_job_resume_pipeline/data/deliverables/resume_portfolio/by_company/ss-c-technologies/2026-04-08/69d64ba948f0c8161d2f7366/resume.md")</f>
      </c>
      <c r="Q19"/>
      <c r="R19">
        <f>HYPERLINK("https://www.linkedin.com/jobs/view/4386975352","https://www.linkedin.com/jobs/view/4386975352")</f>
      </c>
    </row>
    <row r="20">
      <c r="A20" t="inlineStr">
        <is>
          <t>Google</t>
        </is>
      </c>
      <c r="B20" t="inlineStr">
        <is>
          <t>2026-04-08 07:28:27</t>
        </is>
      </c>
      <c r="C20" t="inlineStr">
        <is>
          <t>69ba8bc25697383741402b0f</t>
        </is>
      </c>
      <c r="D20" t="inlineStr">
        <is>
          <t>Software Engineer III, Full Stack, Google Cloud Platforms</t>
        </is>
      </c>
      <c r="E20" t="inlineStr">
        <is>
          <t>1_Discovered</t>
        </is>
      </c>
      <c r="F20" t="inlineStr">
        <is>
          <t>local_unified_pipeline</t>
        </is>
      </c>
      <c r="G20" t="inlineStr">
        <is>
          <t>retarget</t>
        </is>
      </c>
      <c r="H20" t="inlineStr">
        <is>
          <t>seed_codex_google_fullstack</t>
        </is>
      </c>
      <c r="I20" t="inlineStr">
        <is>
          <t>Google Full Stack</t>
        </is>
      </c>
      <c r="J20" t="inlineStr">
        <is>
          <t>google_product_ai_mainline</t>
        </is>
      </c>
      <c r="K20" t="inlineStr">
        <is>
          <t>mainline</t>
        </is>
      </c>
      <c r="L20"/>
      <c r="M20"/>
      <c r="N20">
        <v>94.0</v>
      </c>
      <c r="O20" t="inlineStr">
        <is>
          <t>pass</t>
        </is>
      </c>
      <c r="P20">
        <f>HYPERLINK("file:///Users/jingyizhang/Documents/Playground/projects/local_job_resume_pipeline/data/deliverables/resume_portfolio/by_company/google/2026-04-08/69ba8bc25697383741402b0f/resume.md","/Users/jingyizhang/Documents/Playground/projects/local_job_resume_pipeline/data/deliverables/resume_portfolio/by_company/google/2026-04-08/69ba8bc25697383741402b0f/resume.md")</f>
      </c>
      <c r="Q20"/>
      <c r="R20">
        <f>HYPERLINK("https://careers.google.com/jobs/results/111930608938033862-software-engineer-iii/?src=Online/LinkedIn/linkedin_us&amp;utm_source=linkedin&amp;utm_medium=jobposting&amp;utm_campaign=contract","https://careers.google.com/jobs/results/111930608938033862-software-engineer-iii/?src=Online/LinkedIn/linkedin_us&amp;utm_source=linkedin&amp;utm_medium=jobposting&amp;utm_campaign=contract")</f>
      </c>
    </row>
    <row r="21">
      <c r="A21" t="inlineStr">
        <is>
          <t>Garmin</t>
        </is>
      </c>
      <c r="B21" t="inlineStr">
        <is>
          <t>2026-04-08 07:28:12</t>
        </is>
      </c>
      <c r="C21" t="inlineStr">
        <is>
          <t>699dccab81476f6176b6af20</t>
        </is>
      </c>
      <c r="D21" t="inlineStr">
        <is>
          <t>Software Engineer 1</t>
        </is>
      </c>
      <c r="E21" t="inlineStr">
        <is>
          <t>1_Discovered</t>
        </is>
      </c>
      <c r="F21" t="inlineStr">
        <is>
          <t>local_unified_pipeline</t>
        </is>
      </c>
      <c r="G21" t="inlineStr">
        <is>
          <t>retarget</t>
        </is>
      </c>
      <c r="H21" t="inlineStr">
        <is>
          <t>seed_microsoft_coreai_platform_anchor</t>
        </is>
      </c>
      <c r="I21" t="inlineStr">
        <is>
          <t>Microsoft CoreAI/BIC Platform Anchor</t>
        </is>
      </c>
      <c r="J21"/>
      <c r="K21"/>
      <c r="L21"/>
      <c r="M21"/>
      <c r="N21">
        <v>95.0</v>
      </c>
      <c r="O21" t="inlineStr">
        <is>
          <t>pass</t>
        </is>
      </c>
      <c r="P21">
        <f>HYPERLINK("file:///Users/jingyizhang/Documents/Playground/projects/local_job_resume_pipeline/data/deliverables/resume_portfolio/by_company/garmin/2026-04-08/699dccab81476f6176b6af20/resume.md","/Users/jingyizhang/Documents/Playground/projects/local_job_resume_pipeline/data/deliverables/resume_portfolio/by_company/garmin/2026-04-08/699dccab81476f6176b6af20/resume.md")</f>
      </c>
      <c r="Q21"/>
      <c r="R21">
        <f>HYPERLINK("https://careers.garmin.com/jobs/18098?lang=en-us&amp;iis=Job+Board&amp;iisn=LinkedIn","https://careers.garmin.com/jobs/18098?lang=en-us&amp;iis=Job+Board&amp;iisn=LinkedIn")</f>
      </c>
    </row>
    <row r="22">
      <c r="A22" t="inlineStr">
        <is>
          <t>Google</t>
        </is>
      </c>
      <c r="B22" t="inlineStr">
        <is>
          <t>2026-04-08 07:22:32</t>
        </is>
      </c>
      <c r="C22" t="inlineStr">
        <is>
          <t>69ba93243b74eb1e2c889991</t>
        </is>
      </c>
      <c r="D22" t="inlineStr">
        <is>
          <t>Software Engineer, Autocap</t>
        </is>
      </c>
      <c r="E22" t="inlineStr">
        <is>
          <t>1_Discovered</t>
        </is>
      </c>
      <c r="F22" t="inlineStr">
        <is>
          <t>local_unified_pipeline</t>
        </is>
      </c>
      <c r="G22" t="inlineStr">
        <is>
          <t>reuse</t>
        </is>
      </c>
      <c r="H22" t="inlineStr">
        <is>
          <t>seed_google_cloud_infra_anchor_candidate</t>
        </is>
      </c>
      <c r="I22" t="inlineStr">
        <is>
          <t>Google Cloud Infra Anchor</t>
        </is>
      </c>
      <c r="J22" t="inlineStr">
        <is>
          <t>google_cloud_infra_mainline</t>
        </is>
      </c>
      <c r="K22" t="inlineStr">
        <is>
          <t>mainline</t>
        </is>
      </c>
      <c r="L22"/>
      <c r="M22"/>
      <c r="N22"/>
      <c r="O22"/>
      <c r="P22"/>
      <c r="Q22"/>
      <c r="R22">
        <f>HYPERLINK("https://careers.google.com/jobs/results/102580895235351238-software-engineer/?src=Online/LinkedIn/linkedin_us&amp;utm_source=linkedin&amp;utm_medium=jobposting&amp;utm_campaign=contract","https://careers.google.com/jobs/results/102580895235351238-software-engineer/?src=Online/LinkedIn/linkedin_us&amp;utm_source=linkedin&amp;utm_medium=jobposting&amp;utm_campaign=contract")</f>
      </c>
    </row>
    <row r="23">
      <c r="A23" t="inlineStr">
        <is>
          <t>ByteDance</t>
        </is>
      </c>
      <c r="B23" t="inlineStr">
        <is>
          <t>2026-04-08 07:22:25</t>
        </is>
      </c>
      <c r="C23" t="inlineStr">
        <is>
          <t>69d64881706f771673baa044</t>
        </is>
      </c>
      <c r="D23" t="inlineStr">
        <is>
          <t>Software Engineer, Cross Platform</t>
        </is>
      </c>
      <c r="E23" t="inlineStr">
        <is>
          <t>1_Discovered</t>
        </is>
      </c>
      <c r="F23" t="inlineStr">
        <is>
          <t>local_unified_pipeline</t>
        </is>
      </c>
      <c r="G23" t="inlineStr">
        <is>
          <t>retarget</t>
        </is>
      </c>
      <c r="H23" t="inlineStr">
        <is>
          <t>seed_egen_fullstack_node</t>
        </is>
      </c>
      <c r="I23" t="inlineStr">
        <is>
          <t>Egen Fullstack Node</t>
        </is>
      </c>
      <c r="J23"/>
      <c r="K23"/>
      <c r="L23"/>
      <c r="M23"/>
      <c r="N23">
        <v>94.8</v>
      </c>
      <c r="O23" t="inlineStr">
        <is>
          <t>pass</t>
        </is>
      </c>
      <c r="P23">
        <f>HYPERLINK("file:///Users/jingyizhang/Documents/Playground/projects/local_job_resume_pipeline/data/deliverables/resume_portfolio/by_company/bytedance/2026-04-08/69d64881706f771673baa044/resume.md","/Users/jingyizhang/Documents/Playground/projects/local_job_resume_pipeline/data/deliverables/resume_portfolio/by_company/bytedance/2026-04-08/69d64881706f771673baa044/resume.md")</f>
      </c>
      <c r="Q23"/>
      <c r="R23">
        <f>HYPERLINK("https://www.linkedin.com/jobs/view/4395972720","https://www.linkedin.com/jobs/view/4395972720")</f>
      </c>
    </row>
    <row r="24">
      <c r="A24" t="inlineStr">
        <is>
          <t>NetJets</t>
        </is>
      </c>
      <c r="B24" t="inlineStr">
        <is>
          <t>2026-04-08 07:22:24</t>
        </is>
      </c>
      <c r="C24" t="inlineStr">
        <is>
          <t>69ba8d643b74eb1e2c887f2b</t>
        </is>
      </c>
      <c r="D24" t="inlineStr">
        <is>
          <t>Software Engineer (NJUS)</t>
        </is>
      </c>
      <c r="E24" t="inlineStr">
        <is>
          <t>1_Discovered</t>
        </is>
      </c>
      <c r="F24" t="inlineStr">
        <is>
          <t>local_unified_pipeline</t>
        </is>
      </c>
      <c r="G24" t="inlineStr">
        <is>
          <t>new_seed</t>
        </is>
      </c>
      <c r="H24"/>
      <c r="I24"/>
      <c r="J24"/>
      <c r="K24"/>
      <c r="L24"/>
      <c r="M24"/>
      <c r="N24">
        <v>94.0</v>
      </c>
      <c r="O24" t="inlineStr">
        <is>
          <t>pass</t>
        </is>
      </c>
      <c r="P24">
        <f>HYPERLINK("file:///Users/jingyizhang/Documents/Playground/projects/local_job_resume_pipeline/data/deliverables/resume_portfolio/by_company/netjets/2026-04-08/69ba8d643b74eb1e2c887f2b/resume.md","/Users/jingyizhang/Documents/Playground/projects/local_job_resume_pipeline/data/deliverables/resume_portfolio/by_company/netjets/2026-04-08/69ba8d643b74eb1e2c887f2b/resume.md")</f>
      </c>
      <c r="Q24"/>
      <c r="R24">
        <f>HYPERLINK("https://netjets.jobs.hr.cloud.sap/us/job/Columbus-Software-Engineer-(NJUS)-OH-43219/1374174100/?feedId=386400&amp;utm_source=LinkedInJobPostings&amp;utm_campaign=NJUS_LinkedIn&amp;src=LinkedIn","https://netjets.jobs.hr.cloud.sap/us/job/Columbus-Software-Engineer-(NJUS)-OH-43219/1374174100/?feedId=386400&amp;utm_source=LinkedInJobPostings&amp;utm_campaign=NJUS_LinkedIn&amp;src=LinkedIn")</f>
      </c>
    </row>
    <row r="25">
      <c r="A25" t="inlineStr">
        <is>
          <t>SS&amp;C Technologies</t>
        </is>
      </c>
      <c r="B25" t="inlineStr">
        <is>
          <t>2026-04-08 07:22:23</t>
        </is>
      </c>
      <c r="C25" t="inlineStr">
        <is>
          <t>69d6128ae63cea7a8b66768d</t>
        </is>
      </c>
      <c r="D25" t="inlineStr">
        <is>
          <t>Data Analyst</t>
        </is>
      </c>
      <c r="E25" t="inlineStr">
        <is>
          <t>1_Discovered</t>
        </is>
      </c>
      <c r="F25" t="inlineStr">
        <is>
          <t>local_unified_pipeline</t>
        </is>
      </c>
      <c r="G25" t="inlineStr">
        <is>
          <t>new_seed</t>
        </is>
      </c>
      <c r="H25"/>
      <c r="I25"/>
      <c r="J25"/>
      <c r="K25"/>
      <c r="L25"/>
      <c r="M25"/>
      <c r="N25">
        <v>93.5</v>
      </c>
      <c r="O25" t="inlineStr">
        <is>
          <t>pass</t>
        </is>
      </c>
      <c r="P25">
        <f>HYPERLINK("file:///Users/jingyizhang/Documents/Playground/projects/local_job_resume_pipeline/data/deliverables/resume_portfolio/by_company/ss-c-technologies/2026-04-08/69d6128ae63cea7a8b66768d/resume.md","/Users/jingyizhang/Documents/Playground/projects/local_job_resume_pipeline/data/deliverables/resume_portfolio/by_company/ss-c-technologies/2026-04-08/69d6128ae63cea7a8b66768d/resume.md")</f>
      </c>
      <c r="Q25"/>
      <c r="R25">
        <f>HYPERLINK("https://wd1.myworkdaysite.com/recruiting/ssctech/SSCTechnologies/job/Jacksonville-FL/Data-Scientist_R32997-1?source=LinkedIn","https://wd1.myworkdaysite.com/recruiting/ssctech/SSCTechnologies/job/Jacksonville-FL/Data-Scientist_R32997-1?source=LinkedIn")</f>
      </c>
    </row>
    <row r="26">
      <c r="A26" t="inlineStr">
        <is>
          <t>Qualcomm</t>
        </is>
      </c>
      <c r="B26" t="inlineStr">
        <is>
          <t>2026-04-08 07:22:03</t>
        </is>
      </c>
      <c r="C26" t="inlineStr">
        <is>
          <t>69a504290da45516f16da9ce</t>
        </is>
      </c>
      <c r="D26" t="inlineStr">
        <is>
          <t>Senior Software Engineer, Machine Learning</t>
        </is>
      </c>
      <c r="E26" t="inlineStr">
        <is>
          <t>1_Discovered</t>
        </is>
      </c>
      <c r="F26" t="inlineStr">
        <is>
          <t>local_unified_pipeline</t>
        </is>
      </c>
      <c r="G26" t="inlineStr">
        <is>
          <t>retarget</t>
        </is>
      </c>
      <c r="H26" t="inlineStr">
        <is>
          <t>seed_codex_google_aiml</t>
        </is>
      </c>
      <c r="I26" t="inlineStr">
        <is>
          <t>Google AIML SWE</t>
        </is>
      </c>
      <c r="J26" t="inlineStr">
        <is>
          <t>google_product_ai_mainline</t>
        </is>
      </c>
      <c r="K26" t="inlineStr">
        <is>
          <t>mainline</t>
        </is>
      </c>
      <c r="L26"/>
      <c r="M26"/>
      <c r="N26">
        <v>93.7</v>
      </c>
      <c r="O26" t="inlineStr">
        <is>
          <t>pass</t>
        </is>
      </c>
      <c r="P26">
        <f>HYPERLINK("file:///Users/jingyizhang/Documents/Playground/projects/local_job_resume_pipeline/data/deliverables/resume_portfolio/by_company/qualcomm/2026-04-08/69a504290da45516f16da9ce/resume.md","/Users/jingyizhang/Documents/Playground/projects/local_job_resume_pipeline/data/deliverables/resume_portfolio/by_company/qualcomm/2026-04-08/69a504290da45516f16da9ce/resume.md")</f>
      </c>
      <c r="Q26"/>
      <c r="R26">
        <f>HYPERLINK("https://careers.qualcomm.com/careers/job/446717033485?hl=en-US&amp;utm_source=linkedin&amp;domain=qualcomm.com&amp;source=APPLICANT_SOURCE-6-2","https://careers.qualcomm.com/careers/job/446717033485?hl=en-US&amp;utm_source=linkedin&amp;domain=qualcomm.com&amp;source=APPLICANT_SOURCE-6-2")</f>
      </c>
    </row>
    <row r="27">
      <c r="A27" t="inlineStr">
        <is>
          <t>Google</t>
        </is>
      </c>
      <c r="B27" t="inlineStr">
        <is>
          <t>2026-04-08 07:21:22</t>
        </is>
      </c>
      <c r="C27" t="inlineStr">
        <is>
          <t>699c43cb81476f6176b4bd94</t>
        </is>
      </c>
      <c r="D27" t="inlineStr">
        <is>
          <t>Practice Customer Engineer, Cloud AI, Google Cloud</t>
        </is>
      </c>
      <c r="E27" t="inlineStr">
        <is>
          <t>1_Discovered</t>
        </is>
      </c>
      <c r="F27" t="inlineStr">
        <is>
          <t>local_unified_pipeline</t>
        </is>
      </c>
      <c r="G27" t="inlineStr">
        <is>
          <t>retarget</t>
        </is>
      </c>
      <c r="H27" t="inlineStr">
        <is>
          <t>seed_google_geo_aiml_anchor</t>
        </is>
      </c>
      <c r="I27" t="inlineStr">
        <is>
          <t>Google Workspace/Geo AIML Anchor</t>
        </is>
      </c>
      <c r="J27" t="inlineStr">
        <is>
          <t>google_product_ai_mainline</t>
        </is>
      </c>
      <c r="K27" t="inlineStr">
        <is>
          <t>mainline</t>
        </is>
      </c>
      <c r="L27"/>
      <c r="M27"/>
      <c r="N27">
        <v>94.3</v>
      </c>
      <c r="O27" t="inlineStr">
        <is>
          <t>pass</t>
        </is>
      </c>
      <c r="P27">
        <f>HYPERLINK("file:///Users/jingyizhang/Documents/Playground/projects/local_job_resume_pipeline/data/deliverables/resume_portfolio/by_company/google/2026-04-08/699c43cb81476f6176b4bd94/resume.md","/Users/jingyizhang/Documents/Playground/projects/local_job_resume_pipeline/data/deliverables/resume_portfolio/by_company/google/2026-04-08/699c43cb81476f6176b4bd94/resume.md")</f>
      </c>
      <c r="Q27"/>
      <c r="R27">
        <f>HYPERLINK("https://careers.google.com/jobs/results/124660456668177094-practice-customer-engineer/?src=Online/LinkedIn/linkedin_us&amp;utm_source=linkedin&amp;utm_medium=jobposting&amp;utm_campaign=contract","https://careers.google.com/jobs/results/124660456668177094-practice-customer-engineer/?src=Online/LinkedIn/linkedin_us&amp;utm_source=linkedin&amp;utm_medium=jobposting&amp;utm_campaign=contract")</f>
      </c>
    </row>
    <row r="28">
      <c r="A28" t="inlineStr">
        <is>
          <t>The Walt Disney Company</t>
        </is>
      </c>
      <c r="B28" t="inlineStr">
        <is>
          <t>2026-04-08 07:18:44</t>
        </is>
      </c>
      <c r="C28" t="inlineStr">
        <is>
          <t>69b2b061ae2a534885e9dc50</t>
        </is>
      </c>
      <c r="D28" t="inlineStr">
        <is>
          <t>Software Engineer II - Scala</t>
        </is>
      </c>
      <c r="E28" t="inlineStr">
        <is>
          <t>1_Discovered</t>
        </is>
      </c>
      <c r="F28" t="inlineStr">
        <is>
          <t>local_unified_pipeline</t>
        </is>
      </c>
      <c r="G28" t="inlineStr">
        <is>
          <t>retarget</t>
        </is>
      </c>
      <c r="H28" t="inlineStr">
        <is>
          <t>seed_spotify_backend_music</t>
        </is>
      </c>
      <c r="I28" t="inlineStr">
        <is>
          <t>Spotify Backend Music</t>
        </is>
      </c>
      <c r="J28"/>
      <c r="K28"/>
      <c r="L28"/>
      <c r="M28"/>
      <c r="N28">
        <v>95.0</v>
      </c>
      <c r="O28" t="inlineStr">
        <is>
          <t>pass</t>
        </is>
      </c>
      <c r="P28">
        <f>HYPERLINK("file:///Users/jingyizhang/Documents/Playground/projects/local_job_resume_pipeline/data/deliverables/resume_portfolio/by_company/the-walt-disney-company/2026-04-08/69b2b061ae2a534885e9dc50/resume.md","/Users/jingyizhang/Documents/Playground/projects/local_job_resume_pipeline/data/deliverables/resume_portfolio/by_company/the-walt-disney-company/2026-04-08/69b2b061ae2a534885e9dc50/resume.md")</f>
      </c>
      <c r="Q28"/>
      <c r="R28">
        <f>HYPERLINK("https://www.disneycareers.com/job/-/-/391/92655058736?source=LINKEDIN_JOB_SLOTS","https://www.disneycareers.com/job/-/-/391/92655058736?source=LINKEDIN_JOB_SLOTS")</f>
      </c>
    </row>
    <row r="29">
      <c r="A29" t="inlineStr">
        <is>
          <t>KLA</t>
        </is>
      </c>
      <c r="B29" t="inlineStr">
        <is>
          <t>2026-04-08 07:18:40</t>
        </is>
      </c>
      <c r="C29" t="inlineStr">
        <is>
          <t>69d58da3366bb95ba5546066</t>
        </is>
      </c>
      <c r="D29" t="inlineStr">
        <is>
          <t>Software Engineer</t>
        </is>
      </c>
      <c r="E29" t="inlineStr">
        <is>
          <t>1_Discovered</t>
        </is>
      </c>
      <c r="F29" t="inlineStr">
        <is>
          <t>local_unified_pipeline</t>
        </is>
      </c>
      <c r="G29" t="inlineStr">
        <is>
          <t>new_seed</t>
        </is>
      </c>
      <c r="H29"/>
      <c r="I29"/>
      <c r="J29"/>
      <c r="K29"/>
      <c r="L29"/>
      <c r="M29"/>
      <c r="N29">
        <v>95.3</v>
      </c>
      <c r="O29" t="inlineStr">
        <is>
          <t>pass</t>
        </is>
      </c>
      <c r="P29">
        <f>HYPERLINK("file:///Users/jingyizhang/Documents/Playground/projects/local_job_resume_pipeline/data/deliverables/resume_portfolio/by_company/kla/2026-04-08/69d58da3366bb95ba5546066/resume.md","/Users/jingyizhang/Documents/Playground/projects/local_job_resume_pipeline/data/deliverables/resume_portfolio/by_company/kla/2026-04-08/69d58da3366bb95ba5546066/resume.md")</f>
      </c>
      <c r="Q29"/>
      <c r="R29">
        <f>HYPERLINK("https://kla.wd1.myworkdayjobs.com/Search/job/Milpitas-CA/Software-Engineer_2634918-2?bid=370&amp;source=Job_Board_LinkedIn","https://kla.wd1.myworkdayjobs.com/Search/job/Milpitas-CA/Software-Engineer_2634918-2?bid=370&amp;source=Job_Board_LinkedIn")</f>
      </c>
    </row>
    <row r="30">
      <c r="A30" t="inlineStr">
        <is>
          <t>KLA</t>
        </is>
      </c>
      <c r="B30" t="inlineStr">
        <is>
          <t>2026-04-08 07:18:05</t>
        </is>
      </c>
      <c r="C30" t="inlineStr">
        <is>
          <t>6969fa36639b452fb57ff3d1</t>
        </is>
      </c>
      <c r="D30" t="inlineStr">
        <is>
          <t>Senior Full Stack Software Engineer (Hybrid) (E)</t>
        </is>
      </c>
      <c r="E30" t="inlineStr">
        <is>
          <t>1_Discovered</t>
        </is>
      </c>
      <c r="F30" t="inlineStr">
        <is>
          <t>local_unified_pipeline</t>
        </is>
      </c>
      <c r="G30" t="inlineStr">
        <is>
          <t>retarget</t>
        </is>
      </c>
      <c r="H30" t="inlineStr">
        <is>
          <t>seed_paypal_java_backend</t>
        </is>
      </c>
      <c r="I30" t="inlineStr">
        <is>
          <t>PayPal Java Backend</t>
        </is>
      </c>
      <c r="J30"/>
      <c r="K30"/>
      <c r="L30"/>
      <c r="M30"/>
      <c r="N30">
        <v>93.4</v>
      </c>
      <c r="O30" t="inlineStr">
        <is>
          <t>pass</t>
        </is>
      </c>
      <c r="P30">
        <f>HYPERLINK("file:///Users/jingyizhang/Documents/Playground/projects/local_job_resume_pipeline/data/deliverables/resume_portfolio/by_company/kla/2026-04-08/6969fa36639b452fb57ff3d1/resume.md","/Users/jingyizhang/Documents/Playground/projects/local_job_resume_pipeline/data/deliverables/resume_portfolio/by_company/kla/2026-04-08/6969fa36639b452fb57ff3d1/resume.md")</f>
      </c>
      <c r="Q30"/>
      <c r="R30">
        <f>HYPERLINK("https://www.linkedin.com/jobs/view/3514793139","https://www.linkedin.com/jobs/view/3514793139")</f>
      </c>
    </row>
    <row r="31">
      <c r="A31" t="inlineStr">
        <is>
          <t>Amazon Web Services (AWS)</t>
        </is>
      </c>
      <c r="B31" t="inlineStr">
        <is>
          <t>2026-04-08 07:14:00</t>
        </is>
      </c>
      <c r="C31" t="inlineStr">
        <is>
          <t>69d6468852a5bf58001280a7</t>
        </is>
      </c>
      <c r="D31" t="inlineStr">
        <is>
          <t>SDE-II, Query Processing, Aurora DSQL</t>
        </is>
      </c>
      <c r="E31" t="inlineStr">
        <is>
          <t>1_Discovered</t>
        </is>
      </c>
      <c r="F31" t="inlineStr">
        <is>
          <t>local_unified_pipeline</t>
        </is>
      </c>
      <c r="G31" t="inlineStr">
        <is>
          <t>new_seed</t>
        </is>
      </c>
      <c r="H31"/>
      <c r="I31"/>
      <c r="J31"/>
      <c r="K31"/>
      <c r="L31"/>
      <c r="M31"/>
      <c r="N31">
        <v>94.8</v>
      </c>
      <c r="O31" t="inlineStr">
        <is>
          <t>pass</t>
        </is>
      </c>
      <c r="P31">
        <f>HYPERLINK("file:///Users/jingyizhang/Documents/Playground/projects/local_job_resume_pipeline/data/deliverables/resume_portfolio/by_company/amazon-web-services-aws/2026-04-08/69d6468852a5bf58001280a7/resume.md","/Users/jingyizhang/Documents/Playground/projects/local_job_resume_pipeline/data/deliverables/resume_portfolio/by_company/amazon-web-services-aws/2026-04-08/69d6468852a5bf58001280a7/resume.md")</f>
      </c>
      <c r="Q31"/>
      <c r="R31">
        <f>HYPERLINK("https://www.amazon.jobs/jobs/10385689/sdeii-query-processing-aurora-dsql?cmpid=SPLICX0248M&amp;utm_source=linkedin.com&amp;utm_campaign=cxro&amp;utm_medium=social_media&amp;utm_content=job_posting&amp;ss=paid","https://www.amazon.jobs/jobs/10385689/sdeii-query-processing-aurora-dsql?cmpid=SPLICX0248M&amp;utm_source=linkedin.com&amp;utm_campaign=cxro&amp;utm_medium=social_media&amp;utm_content=job_posting&amp;ss=paid")</f>
      </c>
    </row>
    <row r="32">
      <c r="A32" t="inlineStr">
        <is>
          <t>Amazon Web Services (AWS)</t>
        </is>
      </c>
      <c r="B32" t="inlineStr">
        <is>
          <t>2026-04-08 07:13:20</t>
        </is>
      </c>
      <c r="C32" t="inlineStr">
        <is>
          <t>69d64660cfdc6132f9469390</t>
        </is>
      </c>
      <c r="D32" t="inlineStr">
        <is>
          <t>Software Dev Engineer II (SDE2), Amazon Connect</t>
        </is>
      </c>
      <c r="E32" t="inlineStr">
        <is>
          <t>1_Discovered</t>
        </is>
      </c>
      <c r="F32" t="inlineStr">
        <is>
          <t>local_unified_pipeline</t>
        </is>
      </c>
      <c r="G32" t="inlineStr">
        <is>
          <t>reuse</t>
        </is>
      </c>
      <c r="H32" t="inlineStr">
        <is>
          <t>seed_aws_generalist_embedded</t>
        </is>
      </c>
      <c r="I32" t="inlineStr">
        <is>
          <t>AWS Generalist Embedded</t>
        </is>
      </c>
      <c r="J32"/>
      <c r="K32"/>
      <c r="L32"/>
      <c r="M32"/>
      <c r="N32"/>
      <c r="O32"/>
      <c r="P32"/>
      <c r="Q32"/>
      <c r="R32">
        <f>HYPERLINK("https://www.amazon.jobs/jobs/10385820/software-dev-engineer-ii-sde-amazon-connect?cmpid=SPLICX0248M&amp;utm_source=linkedin.com&amp;utm_campaign=cxro&amp;utm_medium=social_media&amp;utm_content=job_posting&amp;ss=paid","https://www.amazon.jobs/jobs/10385820/software-dev-engineer-ii-sde-amazon-connect?cmpid=SPLICX0248M&amp;utm_source=linkedin.com&amp;utm_campaign=cxro&amp;utm_medium=social_media&amp;utm_content=job_posting&amp;ss=paid")</f>
      </c>
    </row>
    <row r="33">
      <c r="A33" t="inlineStr">
        <is>
          <t>Amazon</t>
        </is>
      </c>
      <c r="B33" t="inlineStr">
        <is>
          <t>2026-04-08 06:58:20</t>
        </is>
      </c>
      <c r="C33" t="inlineStr">
        <is>
          <t>69d642dc366bb95ba554bf11</t>
        </is>
      </c>
      <c r="D33" t="inlineStr">
        <is>
          <t>Business Intelligence Engineer, R2L Analytics</t>
        </is>
      </c>
      <c r="E33" t="inlineStr">
        <is>
          <t>1_Discovered</t>
        </is>
      </c>
      <c r="F33" t="inlineStr">
        <is>
          <t>local_unified_pipeline</t>
        </is>
      </c>
      <c r="G33" t="inlineStr">
        <is>
          <t>retarget</t>
        </is>
      </c>
      <c r="H33" t="inlineStr">
        <is>
          <t>seed_amazon_agi_ml_anchor</t>
        </is>
      </c>
      <c r="I33" t="inlineStr">
        <is>
          <t>Amazon AGI/LLM Anchor</t>
        </is>
      </c>
      <c r="J33" t="inlineStr">
        <is>
          <t>amazon_ai_ads_mainline</t>
        </is>
      </c>
      <c r="K33" t="inlineStr">
        <is>
          <t>mainline</t>
        </is>
      </c>
      <c r="L33"/>
      <c r="M33"/>
      <c r="N33">
        <v>93.1</v>
      </c>
      <c r="O33" t="inlineStr">
        <is>
          <t>pass</t>
        </is>
      </c>
      <c r="P33">
        <f>HYPERLINK("file:///Users/jingyizhang/Documents/Playground/projects/local_job_resume_pipeline/data/deliverables/resume_portfolio/by_company/amazon/2026-04-08/69d642dc366bb95ba554bf11/resume.md","/Users/jingyizhang/Documents/Playground/projects/local_job_resume_pipeline/data/deliverables/resume_portfolio/by_company/amazon/2026-04-08/69d642dc366bb95ba554bf11/resume.md")</f>
      </c>
      <c r="Q33"/>
      <c r="R33">
        <f>HYPERLINK("https://www.amazon.jobs/jobs/10385654/business-intelligence-engineer-rl-analytics?cmpid=SPLICX0248M&amp;utm_source=linkedin.com&amp;utm_campaign=cxro&amp;utm_medium=social_media&amp;utm_content=job_posting&amp;ss=paid","https://www.amazon.jobs/jobs/10385654/business-intelligence-engineer-rl-analytics?cmpid=SPLICX0248M&amp;utm_source=linkedin.com&amp;utm_campaign=cxro&amp;utm_medium=social_media&amp;utm_content=job_posting&amp;ss=paid")</f>
      </c>
    </row>
    <row r="34">
      <c r="A34" t="inlineStr">
        <is>
          <t>Amazon Web Services (AWS)</t>
        </is>
      </c>
      <c r="B34" t="inlineStr">
        <is>
          <t>2026-04-08 06:50:02</t>
        </is>
      </c>
      <c r="C34" t="inlineStr">
        <is>
          <t>69d640ea706f771673ba9fb7</t>
        </is>
      </c>
      <c r="D34" t="inlineStr">
        <is>
          <t>System Development Engineer, AWS Redshift</t>
        </is>
      </c>
      <c r="E34" t="inlineStr">
        <is>
          <t>1_Discovered</t>
        </is>
      </c>
      <c r="F34" t="inlineStr">
        <is>
          <t>local_unified_pipeline</t>
        </is>
      </c>
      <c r="G34" t="inlineStr">
        <is>
          <t>new_seed</t>
        </is>
      </c>
      <c r="H34"/>
      <c r="I34"/>
      <c r="J34"/>
      <c r="K34"/>
      <c r="L34"/>
      <c r="M34"/>
      <c r="N34">
        <v>96.5</v>
      </c>
      <c r="O34" t="inlineStr">
        <is>
          <t>pass</t>
        </is>
      </c>
      <c r="P34">
        <f>HYPERLINK("file:///Users/jingyizhang/Documents/Playground/projects/local_job_resume_pipeline/data/deliverables/resume_portfolio/by_company/amazon-web-services-aws/2026-04-08/69d640ea706f771673ba9fb7/resume.md","/Users/jingyizhang/Documents/Playground/projects/local_job_resume_pipeline/data/deliverables/resume_portfolio/by_company/amazon-web-services-aws/2026-04-08/69d640ea706f771673ba9fb7/resume.md")</f>
      </c>
      <c r="Q34"/>
      <c r="R34">
        <f>HYPERLINK("https://www.amazon.jobs/jobs/3206100/system-development-engineer-aws-redshift?cmpid=SPLICX0248M&amp;utm_source=linkedin.com&amp;utm_campaign=cxro&amp;utm_medium=social_media&amp;utm_content=job_posting&amp;ss=paid","https://www.amazon.jobs/jobs/3206100/system-development-engineer-aws-redshift?cmpid=SPLICX0248M&amp;utm_source=linkedin.com&amp;utm_campaign=cxro&amp;utm_medium=social_media&amp;utm_content=job_posting&amp;ss=paid")</f>
      </c>
    </row>
    <row r="35">
      <c r="A35" t="inlineStr">
        <is>
          <t>Amazon Web Services (AWS)</t>
        </is>
      </c>
      <c r="B35" t="inlineStr">
        <is>
          <t>2026-04-08 06:49:50</t>
        </is>
      </c>
      <c r="C35" t="inlineStr">
        <is>
          <t>69d640de52a5bf5800128045</t>
        </is>
      </c>
      <c r="D35" t="inlineStr">
        <is>
          <t>Software Development Engineer II - Builder Experience, GenAI, GenAI, Codex</t>
        </is>
      </c>
      <c r="E35" t="inlineStr">
        <is>
          <t>1_Discovered</t>
        </is>
      </c>
      <c r="F35" t="inlineStr">
        <is>
          <t>local_unified_pipeline</t>
        </is>
      </c>
      <c r="G35" t="inlineStr">
        <is>
          <t>retarget</t>
        </is>
      </c>
      <c r="H35" t="inlineStr">
        <is>
          <t>seed_aws_support_backend_anchor</t>
        </is>
      </c>
      <c r="I35" t="inlineStr">
        <is>
          <t>AWS Support Backend Anchor</t>
        </is>
      </c>
      <c r="J35"/>
      <c r="K35"/>
      <c r="L35"/>
      <c r="M35"/>
      <c r="N35">
        <v>95.3</v>
      </c>
      <c r="O35" t="inlineStr">
        <is>
          <t>pass</t>
        </is>
      </c>
      <c r="P35">
        <f>HYPERLINK("file:///Users/jingyizhang/Documents/Playground/projects/local_job_resume_pipeline/data/deliverables/resume_portfolio/by_company/amazon-web-services-aws/2026-04-08/69d640de52a5bf5800128045/resume.md","/Users/jingyizhang/Documents/Playground/projects/local_job_resume_pipeline/data/deliverables/resume_portfolio/by_company/amazon-web-services-aws/2026-04-08/69d640de52a5bf5800128045/resume.md")</f>
      </c>
      <c r="Q35"/>
      <c r="R35">
        <f>HYPERLINK("https://www.amazon.jobs/jobs/10385675/software-development-engineer-ii--builder-experience-genai-genai-codex-?cmpid=SPLICX0248M&amp;utm_source=linkedin.com&amp;utm_campaign=cxro&amp;utm_medium=social_media&amp;utm_content=job_posting&amp;ss=paid","https://www.amazon.jobs/jobs/10385675/software-development-engineer-ii--builder-experience-genai-genai-codex-?cmpid=SPLICX0248M&amp;utm_source=linkedin.com&amp;utm_campaign=cxro&amp;utm_medium=social_media&amp;utm_content=job_posting&amp;ss=paid")</f>
      </c>
    </row>
    <row r="36">
      <c r="A36" t="inlineStr">
        <is>
          <t>Amazon</t>
        </is>
      </c>
      <c r="B36" t="inlineStr">
        <is>
          <t>2026-04-08 06:49:41</t>
        </is>
      </c>
      <c r="C36" t="inlineStr">
        <is>
          <t>69d640d552a5bf5800128035</t>
        </is>
      </c>
      <c r="D36" t="inlineStr">
        <is>
          <t>Software Development Engineer II, AFSS</t>
        </is>
      </c>
      <c r="E36" t="inlineStr">
        <is>
          <t>1_Discovered</t>
        </is>
      </c>
      <c r="F36" t="inlineStr">
        <is>
          <t>local_unified_pipeline</t>
        </is>
      </c>
      <c r="G36" t="inlineStr">
        <is>
          <t>reuse</t>
        </is>
      </c>
      <c r="H36" t="inlineStr">
        <is>
          <t>seed_codex_amazon_sde</t>
        </is>
      </c>
      <c r="I36" t="inlineStr">
        <is>
          <t>Amazon SDE</t>
        </is>
      </c>
      <c r="J36" t="inlineStr">
        <is>
          <t>amazon_platform_mainline</t>
        </is>
      </c>
      <c r="K36" t="inlineStr">
        <is>
          <t>mainline</t>
        </is>
      </c>
      <c r="L36"/>
      <c r="M36"/>
      <c r="N36"/>
      <c r="O36"/>
      <c r="P36"/>
      <c r="Q36"/>
      <c r="R36">
        <f>HYPERLINK("https://www.amazon.jobs/jobs/10385700/software-development-engineer-ii-afss?cmpid=SPLICX0248M&amp;utm_source=linkedin.com&amp;utm_campaign=cxro&amp;utm_medium=social_media&amp;utm_content=job_posting&amp;ss=paid","https://www.amazon.jobs/jobs/10385700/software-development-engineer-ii-afss?cmpid=SPLICX0248M&amp;utm_source=linkedin.com&amp;utm_campaign=cxro&amp;utm_medium=social_media&amp;utm_content=job_posting&amp;ss=paid")</f>
      </c>
    </row>
    <row r="37">
      <c r="A37" t="inlineStr">
        <is>
          <t>Amazon Web Services (AWS)</t>
        </is>
      </c>
      <c r="B37" t="inlineStr">
        <is>
          <t>2026-04-08 06:49:33</t>
        </is>
      </c>
      <c r="C37" t="inlineStr">
        <is>
          <t>69d640cde63cea7a8b6682f4</t>
        </is>
      </c>
      <c r="D37" t="inlineStr">
        <is>
          <t>Software Development Engineer, Training &amp; Certifications</t>
        </is>
      </c>
      <c r="E37" t="inlineStr">
        <is>
          <t>1_Discovered</t>
        </is>
      </c>
      <c r="F37" t="inlineStr">
        <is>
          <t>local_unified_pipeline</t>
        </is>
      </c>
      <c r="G37" t="inlineStr">
        <is>
          <t>new_seed</t>
        </is>
      </c>
      <c r="H37"/>
      <c r="I37"/>
      <c r="J37"/>
      <c r="K37"/>
      <c r="L37"/>
      <c r="M37"/>
      <c r="N37">
        <v>94.8</v>
      </c>
      <c r="O37" t="inlineStr">
        <is>
          <t>pass</t>
        </is>
      </c>
      <c r="P37">
        <f>HYPERLINK("file:///Users/jingyizhang/Documents/Playground/projects/local_job_resume_pipeline/data/deliverables/resume_portfolio/by_company/amazon-web-services-aws/2026-04-08/69d640cde63cea7a8b6682f4/resume.md","/Users/jingyizhang/Documents/Playground/projects/local_job_resume_pipeline/data/deliverables/resume_portfolio/by_company/amazon-web-services-aws/2026-04-08/69d640cde63cea7a8b6682f4/resume.md")</f>
      </c>
      <c r="Q37"/>
      <c r="R37">
        <f>HYPERLINK("https://www.amazon.jobs/jobs/10385710/software-development-engineer-training--certifications?cmpid=SPLICX0248M&amp;utm_source=linkedin.com&amp;utm_campaign=cxro&amp;utm_medium=social_media&amp;utm_content=job_posting&amp;ss=paid","https://www.amazon.jobs/jobs/10385710/software-development-engineer-training--certifications?cmpid=SPLICX0248M&amp;utm_source=linkedin.com&amp;utm_campaign=cxro&amp;utm_medium=social_media&amp;utm_content=job_posting&amp;ss=paid")</f>
      </c>
    </row>
    <row r="38">
      <c r="A38" t="inlineStr">
        <is>
          <t>Amazon Web Services (AWS)</t>
        </is>
      </c>
      <c r="B38" t="inlineStr">
        <is>
          <t>2026-04-08 06:48:35</t>
        </is>
      </c>
      <c r="C38" t="inlineStr">
        <is>
          <t>69d6409348f0c8161d2f71e4</t>
        </is>
      </c>
      <c r="D38" t="inlineStr">
        <is>
          <t>Software Development Engineer, AWS Training and Certification</t>
        </is>
      </c>
      <c r="E38" t="inlineStr">
        <is>
          <t>1_Discovered</t>
        </is>
      </c>
      <c r="F38" t="inlineStr">
        <is>
          <t>local_unified_pipeline</t>
        </is>
      </c>
      <c r="G38" t="inlineStr">
        <is>
          <t>reuse</t>
        </is>
      </c>
      <c r="H38" t="inlineStr">
        <is>
          <t>seed_aws_support_backend_anchor</t>
        </is>
      </c>
      <c r="I38" t="inlineStr">
        <is>
          <t>AWS Support Backend Anchor</t>
        </is>
      </c>
      <c r="J38"/>
      <c r="K38"/>
      <c r="L38"/>
      <c r="M38"/>
      <c r="N38"/>
      <c r="O38"/>
      <c r="P38"/>
      <c r="Q38"/>
      <c r="R38">
        <f>HYPERLINK("https://www.amazon.jobs/jobs/10385708/software-development-engineer-aws-training-and-certification?cmpid=SPLICX0248M&amp;utm_source=linkedin.com&amp;utm_campaign=cxro&amp;utm_medium=social_media&amp;utm_content=job_posting&amp;ss=paid","https://www.amazon.jobs/jobs/10385708/software-development-engineer-aws-training-and-certification?cmpid=SPLICX0248M&amp;utm_source=linkedin.com&amp;utm_campaign=cxro&amp;utm_medium=social_media&amp;utm_content=job_posting&amp;ss=paid")</f>
      </c>
    </row>
    <row r="39">
      <c r="A39" t="inlineStr">
        <is>
          <t>Sony Interactive Entertainment</t>
        </is>
      </c>
      <c r="B39" t="inlineStr">
        <is>
          <t>2026-04-08 06:48:31</t>
        </is>
      </c>
      <c r="C39" t="inlineStr">
        <is>
          <t>698130ba49964d25b5e4135f</t>
        </is>
      </c>
      <c r="D39" t="inlineStr">
        <is>
          <t>Software Systems Engineer II</t>
        </is>
      </c>
      <c r="E39" t="inlineStr">
        <is>
          <t>1_Discovered</t>
        </is>
      </c>
      <c r="F39" t="inlineStr">
        <is>
          <t>local_unified_pipeline</t>
        </is>
      </c>
      <c r="G39" t="inlineStr">
        <is>
          <t>new_seed</t>
        </is>
      </c>
      <c r="H39"/>
      <c r="I39"/>
      <c r="J39"/>
      <c r="K39"/>
      <c r="L39"/>
      <c r="M39"/>
      <c r="N39">
        <v>94.5</v>
      </c>
      <c r="O39" t="inlineStr">
        <is>
          <t>pass</t>
        </is>
      </c>
      <c r="P39">
        <f>HYPERLINK("file:///Users/jingyizhang/Documents/Playground/projects/local_job_resume_pipeline/data/deliverables/resume_portfolio/by_company/sony-interactive-entertainment/2026-04-08/698130ba49964d25b5e4135f/resume.md","/Users/jingyizhang/Documents/Playground/projects/local_job_resume_pipeline/data/deliverables/resume_portfolio/by_company/sony-interactive-entertainment/2026-04-08/698130ba49964d25b5e4135f/resume.md")</f>
      </c>
      <c r="Q39"/>
      <c r="R39">
        <f>HYPERLINK("https://boards.greenhouse.io/embed/job_app?token=5789638004&amp;utm_source=jobright","https://boards.greenhouse.io/embed/job_app?token=5789638004&amp;utm_source=jobright")</f>
      </c>
    </row>
    <row r="40">
      <c r="A40" t="inlineStr">
        <is>
          <t>Amazon</t>
        </is>
      </c>
      <c r="B40" t="inlineStr">
        <is>
          <t>2026-04-08 06:48:20</t>
        </is>
      </c>
      <c r="C40" t="inlineStr">
        <is>
          <t>69d64084cfdc6132f9469327</t>
        </is>
      </c>
      <c r="D40" t="inlineStr">
        <is>
          <t>Data Engineer II , NA Stores Expansion</t>
        </is>
      </c>
      <c r="E40" t="inlineStr">
        <is>
          <t>1_Discovered</t>
        </is>
      </c>
      <c r="F40" t="inlineStr">
        <is>
          <t>local_unified_pipeline</t>
        </is>
      </c>
      <c r="G40" t="inlineStr">
        <is>
          <t>reuse</t>
        </is>
      </c>
      <c r="H40" t="inlineStr">
        <is>
          <t>seed_amazon_management_plane_anchor_candidate</t>
        </is>
      </c>
      <c r="I40" t="inlineStr">
        <is>
          <t>Amazon Management Plane Anchor</t>
        </is>
      </c>
      <c r="J40" t="inlineStr">
        <is>
          <t>amazon_platform_mainline</t>
        </is>
      </c>
      <c r="K40" t="inlineStr">
        <is>
          <t>mainline</t>
        </is>
      </c>
      <c r="L40"/>
      <c r="M40"/>
      <c r="N40"/>
      <c r="O40"/>
      <c r="P40"/>
      <c r="Q40"/>
      <c r="R40">
        <f>HYPERLINK("https://www.amazon.jobs/jobs/10385829/data-engineer-ii--na-stores-expansion?cmpid=SPLICX0248M&amp;utm_source=linkedin.com&amp;utm_campaign=cxro&amp;utm_medium=social_media&amp;utm_content=job_posting&amp;ss=paid","https://www.amazon.jobs/jobs/10385829/data-engineer-ii--na-stores-expansion?cmpid=SPLICX0248M&amp;utm_source=linkedin.com&amp;utm_campaign=cxro&amp;utm_medium=social_media&amp;utm_content=job_posting&amp;ss=paid")</f>
      </c>
    </row>
    <row r="41">
      <c r="A41" t="inlineStr">
        <is>
          <t>Amazon Web Services (AWS)</t>
        </is>
      </c>
      <c r="B41" t="inlineStr">
        <is>
          <t>2026-04-08 06:48:17</t>
        </is>
      </c>
      <c r="C41" t="inlineStr">
        <is>
          <t>69d64081cfdc6132f946931f</t>
        </is>
      </c>
      <c r="D41" t="inlineStr">
        <is>
          <t>Software Development Engineer II, Fleet Automation and Release Orchestration (FAROS)</t>
        </is>
      </c>
      <c r="E41" t="inlineStr">
        <is>
          <t>1_Discovered</t>
        </is>
      </c>
      <c r="F41" t="inlineStr">
        <is>
          <t>local_unified_pipeline</t>
        </is>
      </c>
      <c r="G41" t="inlineStr">
        <is>
          <t>reuse</t>
        </is>
      </c>
      <c r="H41" t="inlineStr">
        <is>
          <t>seed_aws_support_backend_anchor</t>
        </is>
      </c>
      <c r="I41" t="inlineStr">
        <is>
          <t>AWS Support Backend Anchor</t>
        </is>
      </c>
      <c r="J41"/>
      <c r="K41"/>
      <c r="L41"/>
      <c r="M41"/>
      <c r="N41"/>
      <c r="O41"/>
      <c r="P41"/>
      <c r="Q41"/>
      <c r="R41">
        <f>HYPERLINK("https://www.amazon.jobs/jobs/10385633/software-development-engineer-ii-fleet-automation-and-release-orchestration-faros?cmpid=SPLICX0248M&amp;utm_source=linkedin.com&amp;utm_campaign=cxro&amp;utm_medium=social_media&amp;utm_content=job_posting&amp;ss=paid","https://www.amazon.jobs/jobs/10385633/software-development-engineer-ii-fleet-automation-and-release-orchestration-faros?cmpid=SPLICX0248M&amp;utm_source=linkedin.com&amp;utm_campaign=cxro&amp;utm_medium=social_media&amp;utm_content=job_posting&amp;ss=paid")</f>
      </c>
    </row>
    <row r="42">
      <c r="A42" t="inlineStr">
        <is>
          <t>Google</t>
        </is>
      </c>
      <c r="B42" t="inlineStr">
        <is>
          <t>2026-04-08 06:43:10</t>
        </is>
      </c>
      <c r="C42" t="inlineStr">
        <is>
          <t>699ca92c81476f6176b53dfe</t>
        </is>
      </c>
      <c r="D42" t="inlineStr">
        <is>
          <t>Engineering Analyst, Cloud AI Abuse</t>
        </is>
      </c>
      <c r="E42" t="inlineStr">
        <is>
          <t>1_Discovered</t>
        </is>
      </c>
      <c r="F42" t="inlineStr">
        <is>
          <t>local_unified_pipeline</t>
        </is>
      </c>
      <c r="G42" t="inlineStr">
        <is>
          <t>reuse</t>
        </is>
      </c>
      <c r="H42" t="inlineStr">
        <is>
          <t>seed_google_geo_aiml_anchor</t>
        </is>
      </c>
      <c r="I42" t="inlineStr">
        <is>
          <t>Google Workspace/Geo AIML Anchor</t>
        </is>
      </c>
      <c r="J42" t="inlineStr">
        <is>
          <t>google_product_ai_mainline</t>
        </is>
      </c>
      <c r="K42" t="inlineStr">
        <is>
          <t>mainline</t>
        </is>
      </c>
      <c r="L42"/>
      <c r="M42"/>
      <c r="N42"/>
      <c r="O42"/>
      <c r="P42"/>
      <c r="Q42"/>
      <c r="R42">
        <f>HYPERLINK("https://careers.google.com/jobs/results/106975155732783814-engineering-analyst/?src=Online/LinkedIn/linkedin_us&amp;utm_source=linkedin&amp;utm_medium=jobposting&amp;utm_campaign=contract","https://careers.google.com/jobs/results/106975155732783814-engineering-analyst/?src=Online/LinkedIn/linkedin_us&amp;utm_source=linkedin&amp;utm_medium=jobposting&amp;utm_campaign=contract")</f>
      </c>
    </row>
    <row r="43">
      <c r="A43" t="inlineStr">
        <is>
          <t>Intel</t>
        </is>
      </c>
      <c r="B43" t="inlineStr">
        <is>
          <t>2026-04-08 06:43:09</t>
        </is>
      </c>
      <c r="C43" t="inlineStr">
        <is>
          <t>69d63f4dcfdc6132f9469275</t>
        </is>
      </c>
      <c r="D43" t="inlineStr">
        <is>
          <t>Junior Software Performance Analysis and Optimization Engineer</t>
        </is>
      </c>
      <c r="E43" t="inlineStr">
        <is>
          <t>1_Discovered</t>
        </is>
      </c>
      <c r="F43" t="inlineStr">
        <is>
          <t>local_unified_pipeline</t>
        </is>
      </c>
      <c r="G43" t="inlineStr">
        <is>
          <t>retarget</t>
        </is>
      </c>
      <c r="H43" t="inlineStr">
        <is>
          <t>seed_google_geo_aiml_anchor</t>
        </is>
      </c>
      <c r="I43" t="inlineStr">
        <is>
          <t>Google Workspace/Geo AIML Anchor</t>
        </is>
      </c>
      <c r="J43" t="inlineStr">
        <is>
          <t>google_product_ai_mainline</t>
        </is>
      </c>
      <c r="K43" t="inlineStr">
        <is>
          <t>mainline</t>
        </is>
      </c>
      <c r="L43"/>
      <c r="M43"/>
      <c r="N43">
        <v>98.0</v>
      </c>
      <c r="O43" t="inlineStr">
        <is>
          <t>pass</t>
        </is>
      </c>
      <c r="P43">
        <f>HYPERLINK("file:///Users/jingyizhang/Documents/Playground/projects/local_job_resume_pipeline/data/deliverables/resume_portfolio/by_company/intel/2026-04-08/69d63f4dcfdc6132f9469275/resume.md","/Users/jingyizhang/Documents/Playground/projects/local_job_resume_pipeline/data/deliverables/resume_portfolio/by_company/intel/2026-04-08/69d63f4dcfdc6132f9469275/resume.md")</f>
      </c>
      <c r="Q43"/>
      <c r="R43">
        <f>HYPERLINK("https://intel.wd1.myworkdayjobs.com/external/job/US-Arizona-Phoenix/Junior-Software-Performance-Analysis-and-Optimization-Engineer_JR0280963","https://intel.wd1.myworkdayjobs.com/external/job/US-Arizona-Phoenix/Junior-Software-Performance-Analysis-and-Optimization-Engineer_JR0280963")</f>
      </c>
    </row>
    <row r="44">
      <c r="A44" t="inlineStr">
        <is>
          <t>Qualcomm</t>
        </is>
      </c>
      <c r="B44" t="inlineStr">
        <is>
          <t>2026-04-08 06:16:23</t>
        </is>
      </c>
      <c r="C44" t="inlineStr">
        <is>
          <t>69ba89e6569738374140227d</t>
        </is>
      </c>
      <c r="D44" t="inlineStr">
        <is>
          <t>Sr. AI Model Systems Software Engineer</t>
        </is>
      </c>
      <c r="E44" t="inlineStr">
        <is>
          <t>1_Discovered</t>
        </is>
      </c>
      <c r="F44" t="inlineStr">
        <is>
          <t>local_unified_pipeline</t>
        </is>
      </c>
      <c r="G44" t="inlineStr">
        <is>
          <t>reuse</t>
        </is>
      </c>
      <c r="H44" t="inlineStr">
        <is>
          <t>seed_h2o_ai_engineer</t>
        </is>
      </c>
      <c r="I44" t="inlineStr">
        <is>
          <t>H2O AI Engineer</t>
        </is>
      </c>
      <c r="J44"/>
      <c r="K44"/>
      <c r="L44"/>
      <c r="M44"/>
      <c r="N44"/>
      <c r="O44"/>
      <c r="P44"/>
      <c r="Q44"/>
      <c r="R44">
        <f>HYPERLINK("https://careers.qualcomm.com/careers/job/446717435312?hl=en-US&amp;utm_source=linkedin&amp;domain=qualcomm.com&amp;source=APPLICANT_SOURCE-6-2","https://careers.qualcomm.com/careers/job/446717435312?hl=en-US&amp;utm_source=linkedin&amp;domain=qualcomm.com&amp;source=APPLICANT_SOURCE-6-2")</f>
      </c>
    </row>
    <row r="45">
      <c r="A45" t="inlineStr">
        <is>
          <t>Medpace</t>
        </is>
      </c>
      <c r="B45" t="inlineStr">
        <is>
          <t>2026-04-08 06:10:38</t>
        </is>
      </c>
      <c r="C45" t="inlineStr">
        <is>
          <t>6965d2f45ad3a93f8231461b</t>
        </is>
      </c>
      <c r="D45" t="inlineStr">
        <is>
          <t>AI Data Scientist</t>
        </is>
      </c>
      <c r="E45" t="inlineStr">
        <is>
          <t>1_Discovered</t>
        </is>
      </c>
      <c r="F45" t="inlineStr">
        <is>
          <t>local_unified_pipeline</t>
        </is>
      </c>
      <c r="G45" t="inlineStr">
        <is>
          <t>reuse</t>
        </is>
      </c>
      <c r="H45" t="inlineStr">
        <is>
          <t>seed_linkedin_mle_foundation</t>
        </is>
      </c>
      <c r="I45" t="inlineStr">
        <is>
          <t>LinkedIn MLE Foundation</t>
        </is>
      </c>
      <c r="J45"/>
      <c r="K45"/>
      <c r="L45"/>
      <c r="M45"/>
      <c r="N45"/>
      <c r="O45"/>
      <c r="P45"/>
      <c r="Q45"/>
      <c r="R45">
        <f>HYPERLINK("https://careers.medpace.com/jobs/12393?lang=en-us&amp;iis=Job%20Board&amp;iisn=LinkedIn","https://careers.medpace.com/jobs/12393?lang=en-us&amp;iis=Job%20Board&amp;iisn=LinkedIn")</f>
      </c>
    </row>
    <row r="46">
      <c r="A46" t="inlineStr">
        <is>
          <t>Travelers</t>
        </is>
      </c>
      <c r="B46" t="inlineStr">
        <is>
          <t>2026-04-08 06:10:20</t>
        </is>
      </c>
      <c r="C46" t="inlineStr">
        <is>
          <t>69cc5d28366bb95ba54ef2a0</t>
        </is>
      </c>
      <c r="D46" t="inlineStr">
        <is>
          <t>Data Scientist, Applied Research</t>
        </is>
      </c>
      <c r="E46" t="inlineStr">
        <is>
          <t>1_Discovered</t>
        </is>
      </c>
      <c r="F46" t="inlineStr">
        <is>
          <t>local_unified_pipeline</t>
        </is>
      </c>
      <c r="G46" t="inlineStr">
        <is>
          <t>retarget</t>
        </is>
      </c>
      <c r="H46" t="inlineStr">
        <is>
          <t>seed_bytedance_ml_grad</t>
        </is>
      </c>
      <c r="I46" t="inlineStr">
        <is>
          <t>ByteDance ML Grad</t>
        </is>
      </c>
      <c r="J46"/>
      <c r="K46"/>
      <c r="L46"/>
      <c r="M46"/>
      <c r="N46">
        <v>93.5</v>
      </c>
      <c r="O46" t="inlineStr">
        <is>
          <t>pass</t>
        </is>
      </c>
      <c r="P46">
        <f>HYPERLINK("file:///Users/jingyizhang/Documents/Playground/projects/local_job_resume_pipeline/data/deliverables/resume_portfolio/by_company/travelers/2026-04-08/69cc5d28366bb95ba54ef2a0/resume.md","/Users/jingyizhang/Documents/Playground/projects/local_job_resume_pipeline/data/deliverables/resume_portfolio/by_company/travelers/2026-04-08/69cc5d28366bb95ba54ef2a0/resume.md")</f>
      </c>
      <c r="Q46"/>
      <c r="R46">
        <f>HYPERLINK("https://careers.travelers.com/job/22643600/data-scientist-applied-research-hartford-ct/?source=S0791","https://careers.travelers.com/job/22643600/data-scientist-applied-research-hartford-ct/?source=S0791")</f>
      </c>
    </row>
    <row r="47">
      <c r="A47" t="inlineStr">
        <is>
          <t>Google</t>
        </is>
      </c>
      <c r="B47" t="inlineStr">
        <is>
          <t>2026-04-08 05:52:43</t>
        </is>
      </c>
      <c r="C47" t="inlineStr">
        <is>
          <t>69d6337b366bb95ba554bcaa</t>
        </is>
      </c>
      <c r="D47" t="inlineStr">
        <is>
          <t>Data Engineer, Operations and Infrastructure Data Science</t>
        </is>
      </c>
      <c r="E47" t="inlineStr">
        <is>
          <t>1_Discovered</t>
        </is>
      </c>
      <c r="F47" t="inlineStr">
        <is>
          <t>local_unified_pipeline</t>
        </is>
      </c>
      <c r="G47" t="inlineStr">
        <is>
          <t>reuse</t>
        </is>
      </c>
      <c r="H47" t="inlineStr">
        <is>
          <t>seed_google_geo_aiml_anchor</t>
        </is>
      </c>
      <c r="I47" t="inlineStr">
        <is>
          <t>Google Workspace/Geo AIML Anchor</t>
        </is>
      </c>
      <c r="J47" t="inlineStr">
        <is>
          <t>google_product_ai_mainline</t>
        </is>
      </c>
      <c r="K47" t="inlineStr">
        <is>
          <t>mainline</t>
        </is>
      </c>
      <c r="L47"/>
      <c r="M47"/>
      <c r="N47"/>
      <c r="O47"/>
      <c r="P47"/>
      <c r="Q47"/>
      <c r="R47">
        <f>HYPERLINK("https://careers.google.com/jobs/results/127631856240599750-data-engineer/?src=Online/LinkedIn/linkedin_us&amp;utm_source=linkedin&amp;utm_medium=jobposting&amp;utm_campaign=contract","https://careers.google.com/jobs/results/127631856240599750-data-engineer/?src=Online/LinkedIn/linkedin_us&amp;utm_source=linkedin&amp;utm_medium=jobposting&amp;utm_campaign=contract")</f>
      </c>
    </row>
    <row r="48">
      <c r="A48" t="inlineStr">
        <is>
          <t>Snowflake</t>
        </is>
      </c>
      <c r="B48" t="inlineStr">
        <is>
          <t>2026-04-08 05:49:31</t>
        </is>
      </c>
      <c r="C48" t="inlineStr">
        <is>
          <t>699e4a4e81476f6176b73aab</t>
        </is>
      </c>
      <c r="D48" t="inlineStr">
        <is>
          <t>Software Engineer - Frontend</t>
        </is>
      </c>
      <c r="E48" t="inlineStr">
        <is>
          <t>1_Discovered</t>
        </is>
      </c>
      <c r="F48" t="inlineStr">
        <is>
          <t>local_unified_pipeline</t>
        </is>
      </c>
      <c r="G48" t="inlineStr">
        <is>
          <t>retarget</t>
        </is>
      </c>
      <c r="H48" t="inlineStr">
        <is>
          <t>seed_codex_google_fullstack</t>
        </is>
      </c>
      <c r="I48" t="inlineStr">
        <is>
          <t>Google Full Stack</t>
        </is>
      </c>
      <c r="J48" t="inlineStr">
        <is>
          <t>google_product_ai_mainline</t>
        </is>
      </c>
      <c r="K48" t="inlineStr">
        <is>
          <t>mainline</t>
        </is>
      </c>
      <c r="L48"/>
      <c r="M48"/>
      <c r="N48">
        <v>95.5</v>
      </c>
      <c r="O48" t="inlineStr">
        <is>
          <t>pass</t>
        </is>
      </c>
      <c r="P48">
        <f>HYPERLINK("file:///Users/jingyizhang/Documents/Playground/projects/local_job_resume_pipeline/data/deliverables/resume_portfolio/by_company/snowflake/2026-04-08/699e4a4e81476f6176b73aab/resume.md","/Users/jingyizhang/Documents/Playground/projects/local_job_resume_pipeline/data/deliverables/resume_portfolio/by_company/snowflake/2026-04-08/699e4a4e81476f6176b73aab/resume.md")</f>
      </c>
      <c r="Q48"/>
      <c r="R48">
        <f>HYPERLINK("https://careers.snowflake.com/us/en/job/SNCOUSD43A772689EB407E83CE3B247592DF49EXTERNALENUS950ABC308BFB4F159BB962713C93AA5F/Software-Engineer-Frontend?utm_source=Q2P9NP2NNP&amp;utm_medium=phenom-feeds&amp;gh_src=ed5543a62","https://careers.snowflake.com/us/en/job/SNCOUSD43A772689EB407E83CE3B247592DF49EXTERNALENUS950ABC308BFB4F159BB962713C93AA5F/Software-Engineer-Frontend?utm_source=Q2P9NP2NNP&amp;utm_medium=phenom-feeds&amp;gh_src=ed5543a62")</f>
      </c>
    </row>
    <row r="49">
      <c r="A49" t="inlineStr">
        <is>
          <t>HP</t>
        </is>
      </c>
      <c r="B49" t="inlineStr">
        <is>
          <t>2026-04-08 05:44:44</t>
        </is>
      </c>
      <c r="C49" t="inlineStr">
        <is>
          <t>69d6319c706f771673ba9d05</t>
        </is>
      </c>
      <c r="D49" t="inlineStr">
        <is>
          <t>Software Engineer, Tooling and Development Infrastructure - HP IQ</t>
        </is>
      </c>
      <c r="E49" t="inlineStr">
        <is>
          <t>1_Discovered</t>
        </is>
      </c>
      <c r="F49" t="inlineStr">
        <is>
          <t>local_unified_pipeline</t>
        </is>
      </c>
      <c r="G49" t="inlineStr">
        <is>
          <t>new_seed</t>
        </is>
      </c>
      <c r="H49"/>
      <c r="I49"/>
      <c r="J49"/>
      <c r="K49"/>
      <c r="L49"/>
      <c r="M49"/>
      <c r="N49">
        <v>95.4</v>
      </c>
      <c r="O49" t="inlineStr">
        <is>
          <t>pass</t>
        </is>
      </c>
      <c r="P49">
        <f>HYPERLINK("file:///Users/jingyizhang/Documents/Playground/projects/local_job_resume_pipeline/data/deliverables/resume_portfolio/by_company/hp/2026-04-08/69d6319c706f771673ba9d05/resume.md","/Users/jingyizhang/Documents/Playground/projects/local_job_resume_pipeline/data/deliverables/resume_portfolio/by_company/hp/2026-04-08/69d6319c706f771673ba9d05/resume.md")</f>
      </c>
      <c r="Q49"/>
      <c r="R49">
        <f>HYPERLINK("https://HPINC.contacthr.com/151731015?src=Linkedin+Full+Feed","https://HPINC.contacthr.com/151731015?src=Linkedin+Full+Feed")</f>
      </c>
    </row>
    <row r="50">
      <c r="A50" t="inlineStr">
        <is>
          <t>PayPal</t>
        </is>
      </c>
      <c r="B50" t="inlineStr">
        <is>
          <t>2026-04-08 05:43:55</t>
        </is>
      </c>
      <c r="C50" t="inlineStr">
        <is>
          <t>699e270c81476f6176b707f8</t>
        </is>
      </c>
      <c r="D50" t="inlineStr">
        <is>
          <t>Software Android Engineer</t>
        </is>
      </c>
      <c r="E50" t="inlineStr">
        <is>
          <t>1_Discovered</t>
        </is>
      </c>
      <c r="F50" t="inlineStr">
        <is>
          <t>local_unified_pipeline</t>
        </is>
      </c>
      <c r="G50" t="inlineStr">
        <is>
          <t>new_seed</t>
        </is>
      </c>
      <c r="H50"/>
      <c r="I50"/>
      <c r="J50"/>
      <c r="K50"/>
      <c r="L50"/>
      <c r="M50"/>
      <c r="N50">
        <v>94.3</v>
      </c>
      <c r="O50" t="inlineStr">
        <is>
          <t>pass</t>
        </is>
      </c>
      <c r="P50">
        <f>HYPERLINK("file:///Users/jingyizhang/Documents/Playground/projects/local_job_resume_pipeline/data/deliverables/resume_portfolio/by_company/paypal/2026-04-08/699e270c81476f6176b707f8/resume.md","/Users/jingyizhang/Documents/Playground/projects/local_job_resume_pipeline/data/deliverables/resume_portfolio/by_company/paypal/2026-04-08/699e270c81476f6176b707f8/resume.md")</f>
      </c>
      <c r="Q50"/>
      <c r="R50">
        <f>HYPERLINK("https://paypal.eightfold.ai/careers?domain=paypal.com&amp;sort_by=relevance&amp;query=R0134713&amp;Codes=W-LINKEDIN","https://paypal.eightfold.ai/careers?domain=paypal.com&amp;sort_by=relevance&amp;query=R0134713&amp;Codes=W-LINKEDIN")</f>
      </c>
    </row>
    <row r="51">
      <c r="A51" t="inlineStr">
        <is>
          <t>PayPal</t>
        </is>
      </c>
      <c r="B51" t="inlineStr">
        <is>
          <t>2026-04-08 05:43:05</t>
        </is>
      </c>
      <c r="C51" t="inlineStr">
        <is>
          <t>699e256cce78e77b4fe33807</t>
        </is>
      </c>
      <c r="D51" t="inlineStr">
        <is>
          <t>Sr Full Stack Engineer, PayPal Shopping</t>
        </is>
      </c>
      <c r="E51" t="inlineStr">
        <is>
          <t>1_Discovered</t>
        </is>
      </c>
      <c r="F51" t="inlineStr">
        <is>
          <t>local_unified_pipeline</t>
        </is>
      </c>
      <c r="G51" t="inlineStr">
        <is>
          <t>retarget</t>
        </is>
      </c>
      <c r="H51" t="inlineStr">
        <is>
          <t>seed_zip_backend_web</t>
        </is>
      </c>
      <c r="I51" t="inlineStr">
        <is>
          <t>Zip Backend Web</t>
        </is>
      </c>
      <c r="J51"/>
      <c r="K51"/>
      <c r="L51"/>
      <c r="M51"/>
      <c r="N51">
        <v>94.7</v>
      </c>
      <c r="O51" t="inlineStr">
        <is>
          <t>pass</t>
        </is>
      </c>
      <c r="P51">
        <f>HYPERLINK("file:///Users/jingyizhang/Documents/Playground/projects/local_job_resume_pipeline/data/deliverables/resume_portfolio/by_company/paypal/2026-04-08/699e256cce78e77b4fe33807/resume.md","/Users/jingyizhang/Documents/Playground/projects/local_job_resume_pipeline/data/deliverables/resume_portfolio/by_company/paypal/2026-04-08/699e256cce78e77b4fe33807/resume.md")</f>
      </c>
      <c r="Q51"/>
      <c r="R51">
        <f>HYPERLINK("https://paypal.eightfold.ai/careers?domain=paypal.com&amp;sort_by=relevance&amp;query=R0135240&amp;Codes=W-LINKEDIN","https://paypal.eightfold.ai/careers?domain=paypal.com&amp;sort_by=relevance&amp;query=R0135240&amp;Codes=W-LINKEDIN")</f>
      </c>
    </row>
    <row r="52">
      <c r="A52" t="inlineStr">
        <is>
          <t>HDR</t>
        </is>
      </c>
      <c r="B52" t="inlineStr">
        <is>
          <t>2026-04-08 05:42:55</t>
        </is>
      </c>
      <c r="C52" t="inlineStr">
        <is>
          <t>69a2c0750da45516f16c299c</t>
        </is>
      </c>
      <c r="D52" t="inlineStr">
        <is>
          <t>Senior Software Engineer</t>
        </is>
      </c>
      <c r="E52" t="inlineStr">
        <is>
          <t>1_Discovered</t>
        </is>
      </c>
      <c r="F52" t="inlineStr">
        <is>
          <t>local_unified_pipeline</t>
        </is>
      </c>
      <c r="G52" t="inlineStr">
        <is>
          <t>retarget</t>
        </is>
      </c>
      <c r="H52" t="inlineStr">
        <is>
          <t>seed_egen_fullstack_node</t>
        </is>
      </c>
      <c r="I52" t="inlineStr">
        <is>
          <t>Egen Fullstack Node</t>
        </is>
      </c>
      <c r="J52"/>
      <c r="K52"/>
      <c r="L52"/>
      <c r="M52"/>
      <c r="N52">
        <v>94.0</v>
      </c>
      <c r="O52" t="inlineStr">
        <is>
          <t>pass</t>
        </is>
      </c>
      <c r="P52">
        <f>HYPERLINK("file:///Users/jingyizhang/Documents/Playground/projects/local_job_resume_pipeline/data/deliverables/resume_portfolio/by_company/hdr/2026-04-08/69a2c0750da45516f16c299c/resume.md","/Users/jingyizhang/Documents/Playground/projects/local_job_resume_pipeline/data/deliverables/resume_portfolio/by_company/hdr/2026-04-08/69a2c0750da45516f16c299c/resume.md")</f>
      </c>
      <c r="Q52"/>
      <c r="R52">
        <f>HYPERLINK("https://hdr.taleo.net/careersection/ex/jobdetail.ftl?job=190711&amp;lang=en&amp;src=SNS-10025","https://hdr.taleo.net/careersection/ex/jobdetail.ftl?job=190711&amp;lang=en&amp;src=SNS-10025")</f>
      </c>
    </row>
    <row r="53">
      <c r="A53" t="inlineStr">
        <is>
          <t>JPMorganChase</t>
        </is>
      </c>
      <c r="B53" t="inlineStr">
        <is>
          <t>2026-04-08 05:40:17</t>
        </is>
      </c>
      <c r="C53" t="inlineStr">
        <is>
          <t>69cc9f35cfdc6132f94112d9</t>
        </is>
      </c>
      <c r="D53" t="inlineStr">
        <is>
          <t>Software Engineer II- Test Automation Engineer- ATM</t>
        </is>
      </c>
      <c r="E53" t="inlineStr">
        <is>
          <t>1_Discovered</t>
        </is>
      </c>
      <c r="F53" t="inlineStr">
        <is>
          <t>local_unified_pipeline</t>
        </is>
      </c>
      <c r="G53" t="inlineStr">
        <is>
          <t>new_seed</t>
        </is>
      </c>
      <c r="H53"/>
      <c r="I53"/>
      <c r="J53"/>
      <c r="K53"/>
      <c r="L53"/>
      <c r="M53"/>
      <c r="N53">
        <v>95.9</v>
      </c>
      <c r="O53" t="inlineStr">
        <is>
          <t>pass</t>
        </is>
      </c>
      <c r="P53">
        <f>HYPERLINK("file:///Users/jingyizhang/Documents/Playground/projects/local_job_resume_pipeline/data/deliverables/resume_portfolio/by_company/jpmorganchase/2026-04-08/69cc9f35cfdc6132f94112d9/resume.md","/Users/jingyizhang/Documents/Playground/projects/local_job_resume_pipeline/data/deliverables/resume_portfolio/by_company/jpmorganchase/2026-04-08/69cc9f35cfdc6132f94112d9/resume.md")</f>
      </c>
      <c r="Q53"/>
      <c r="R53">
        <f>HYPERLINK("https://JPMorganChase.contacthr.com/151492194","https://JPMorganChase.contacthr.com/151492194")</f>
      </c>
    </row>
    <row r="54">
      <c r="A54" t="inlineStr">
        <is>
          <t>Take-Two Interactive</t>
        </is>
      </c>
      <c r="B54" t="inlineStr">
        <is>
          <t>2026-04-08 05:31:50</t>
        </is>
      </c>
      <c r="C54" t="inlineStr">
        <is>
          <t>699e2a14e0bddb6acacd84d1</t>
        </is>
      </c>
      <c r="D54" t="inlineStr">
        <is>
          <t>Data Engineer (Python/Spark)</t>
        </is>
      </c>
      <c r="E54" t="inlineStr">
        <is>
          <t>1_Discovered</t>
        </is>
      </c>
      <c r="F54" t="inlineStr">
        <is>
          <t>local_unified_pipeline</t>
        </is>
      </c>
      <c r="G54" t="inlineStr">
        <is>
          <t>reuse</t>
        </is>
      </c>
      <c r="H54" t="inlineStr">
        <is>
          <t>seed_jpmc_data_mlops_anchor</t>
        </is>
      </c>
      <c r="I54" t="inlineStr">
        <is>
          <t>JPMorganChase Data Platform/MLOps Anchor</t>
        </is>
      </c>
      <c r="J54" t="inlineStr">
        <is>
          <t>jpmc_data_mlops_mainline</t>
        </is>
      </c>
      <c r="K54" t="inlineStr">
        <is>
          <t>mainline</t>
        </is>
      </c>
      <c r="L54"/>
      <c r="M54"/>
      <c r="N54"/>
      <c r="O54"/>
      <c r="P54"/>
      <c r="Q54"/>
      <c r="R54">
        <f>HYPERLINK("https://boards.greenhouse.io/embed/job_app?token=7635245&amp;utm_source=jobright","https://boards.greenhouse.io/embed/job_app?token=7635245&amp;utm_source=jobright")</f>
      </c>
    </row>
    <row r="55">
      <c r="A55" t="inlineStr">
        <is>
          <t>Synopsys Inc</t>
        </is>
      </c>
      <c r="B55" t="inlineStr">
        <is>
          <t>2026-04-08 05:31:14</t>
        </is>
      </c>
      <c r="C55" t="inlineStr">
        <is>
          <t>69bb8c0706c1ba00c54e14e4</t>
        </is>
      </c>
      <c r="D55" t="inlineStr">
        <is>
          <t>DevOps Engineer II</t>
        </is>
      </c>
      <c r="E55" t="inlineStr">
        <is>
          <t>1_Discovered</t>
        </is>
      </c>
      <c r="F55" t="inlineStr">
        <is>
          <t>local_unified_pipeline</t>
        </is>
      </c>
      <c r="G55" t="inlineStr">
        <is>
          <t>new_seed</t>
        </is>
      </c>
      <c r="H55"/>
      <c r="I55"/>
      <c r="J55"/>
      <c r="K55"/>
      <c r="L55"/>
      <c r="M55"/>
      <c r="N55">
        <v>94.2</v>
      </c>
      <c r="O55" t="inlineStr">
        <is>
          <t>pass</t>
        </is>
      </c>
      <c r="P55">
        <f>HYPERLINK("file:///Users/jingyizhang/Documents/Playground/projects/local_job_resume_pipeline/data/deliverables/resume_portfolio/by_company/synopsys-inc/2026-04-08/69bb8c0706c1ba00c54e14e4/resume.md","/Users/jingyizhang/Documents/Playground/projects/local_job_resume_pipeline/data/deliverables/resume_portfolio/by_company/synopsys-inc/2026-04-08/69bb8c0706c1ba00c54e14e4/resume.md")</f>
      </c>
      <c r="Q55"/>
      <c r="R55">
        <f>HYPERLINK("https://careers.synopsys.com/job/-/-/44408/90427979216","https://careers.synopsys.com/job/-/-/44408/90427979216")</f>
      </c>
    </row>
    <row r="56">
      <c r="A56" t="inlineStr">
        <is>
          <t>Keysight Technologies</t>
        </is>
      </c>
      <c r="B56" t="inlineStr">
        <is>
          <t>2026-04-08 05:15:01</t>
        </is>
      </c>
      <c r="C56" t="inlineStr">
        <is>
          <t>69a213f8359fe034b1cd5272</t>
        </is>
      </c>
      <c r="D56" t="inlineStr">
        <is>
          <t>Quantum Pro Software Engineer</t>
        </is>
      </c>
      <c r="E56" t="inlineStr">
        <is>
          <t>1_Discovered</t>
        </is>
      </c>
      <c r="F56" t="inlineStr">
        <is>
          <t>local_unified_pipeline</t>
        </is>
      </c>
      <c r="G56" t="inlineStr">
        <is>
          <t>retarget</t>
        </is>
      </c>
      <c r="H56" t="inlineStr">
        <is>
          <t>seed_aws_support_backend_anchor</t>
        </is>
      </c>
      <c r="I56" t="inlineStr">
        <is>
          <t>AWS Support Backend Anchor</t>
        </is>
      </c>
      <c r="J56"/>
      <c r="K56"/>
      <c r="L56"/>
      <c r="M56"/>
      <c r="N56">
        <v>95.5</v>
      </c>
      <c r="O56" t="inlineStr">
        <is>
          <t>pass</t>
        </is>
      </c>
      <c r="P56">
        <f>HYPERLINK("file:///Users/jingyizhang/Documents/Playground/projects/local_job_resume_pipeline/data/deliverables/resume_portfolio/by_company/keysight-technologies/2026-04-08/69a213f8359fe034b1cd5272/resume.md","/Users/jingyizhang/Documents/Playground/projects/local_job_resume_pipeline/data/deliverables/resume_portfolio/by_company/keysight-technologies/2026-04-08/69a213f8359fe034b1cd5272/resume.md")</f>
      </c>
      <c r="Q56"/>
      <c r="R56">
        <f>HYPERLINK("https://jobs.keysight.com/jobs/51804?lang=en-us&amp;iis=LinkedIn&amp;iisn=Linkedin&amp;mode=apply","https://jobs.keysight.com/jobs/51804?lang=en-us&amp;iis=LinkedIn&amp;iisn=Linkedin&amp;mode=apply")</f>
      </c>
    </row>
    <row r="57">
      <c r="A57" t="inlineStr">
        <is>
          <t>Intertek</t>
        </is>
      </c>
      <c r="B57" t="inlineStr">
        <is>
          <t>2026-04-08 04:54:03</t>
        </is>
      </c>
      <c r="C57" t="inlineStr">
        <is>
          <t>69c8e5a61818a24cd84d814a</t>
        </is>
      </c>
      <c r="D57" t="inlineStr">
        <is>
          <t>Data Analyst - On-site</t>
        </is>
      </c>
      <c r="E57" t="inlineStr">
        <is>
          <t>1_Discovered</t>
        </is>
      </c>
      <c r="F57" t="inlineStr">
        <is>
          <t>local_unified_pipeline</t>
        </is>
      </c>
      <c r="G57" t="inlineStr">
        <is>
          <t>retarget</t>
        </is>
      </c>
      <c r="H57" t="inlineStr">
        <is>
          <t>seed_h2o_ai_engineer</t>
        </is>
      </c>
      <c r="I57" t="inlineStr">
        <is>
          <t>H2O AI Engineer</t>
        </is>
      </c>
      <c r="J57"/>
      <c r="K57"/>
      <c r="L57"/>
      <c r="M57"/>
      <c r="N57">
        <v>93.4</v>
      </c>
      <c r="O57" t="inlineStr">
        <is>
          <t>pass</t>
        </is>
      </c>
      <c r="P57">
        <f>HYPERLINK("file:///Users/jingyizhang/Documents/Playground/projects/local_job_resume_pipeline/data/deliverables/resume_portfolio/by_company/intertek/2026-04-08/69c8e5a61818a24cd84d814a/resume.md","/Users/jingyizhang/Documents/Playground/projects/local_job_resume_pipeline/data/deliverables/resume_portfolio/by_company/intertek/2026-04-08/69c8e5a61818a24cd84d814a/resume.md")</f>
      </c>
      <c r="Q57"/>
      <c r="R57">
        <f>HYPERLINK("https://hcog.fa.em2.oraclecloud.com/hcmUI/CandidateExperience/en/job/14083/?utm_medium=jobshare","https://hcog.fa.em2.oraclecloud.com/hcmUI/CandidateExperience/en/job/14083/?utm_medium=jobshare")</f>
      </c>
    </row>
    <row r="58">
      <c r="A58" t="inlineStr">
        <is>
          <t>Adobe</t>
        </is>
      </c>
      <c r="B58" t="inlineStr">
        <is>
          <t>2026-04-08 04:14:06</t>
        </is>
      </c>
      <c r="C58" t="inlineStr">
        <is>
          <t>690e2f0a221b890c2780b8ea</t>
        </is>
      </c>
      <c r="D58" t="inlineStr">
        <is>
          <t>Software Development Engineer 3</t>
        </is>
      </c>
      <c r="E58" t="inlineStr">
        <is>
          <t>1_Discovered</t>
        </is>
      </c>
      <c r="F58" t="inlineStr">
        <is>
          <t>local_unified_pipeline</t>
        </is>
      </c>
      <c r="G58" t="inlineStr">
        <is>
          <t>retarget</t>
        </is>
      </c>
      <c r="H58" t="inlineStr">
        <is>
          <t>seed_aws_generalist_embedded</t>
        </is>
      </c>
      <c r="I58" t="inlineStr">
        <is>
          <t>AWS Generalist Embedded</t>
        </is>
      </c>
      <c r="J58"/>
      <c r="K58"/>
      <c r="L58"/>
      <c r="M58"/>
      <c r="N58">
        <v>96.0</v>
      </c>
      <c r="O58" t="inlineStr">
        <is>
          <t>pass</t>
        </is>
      </c>
      <c r="P58">
        <f>HYPERLINK("file:///Users/jingyizhang/Documents/Playground/projects/local_job_resume_pipeline/data/deliverables/resume_portfolio/by_company/adobe/2026-04-08/690e2f0a221b890c2780b8ea/resume.md","/Users/jingyizhang/Documents/Playground/projects/local_job_resume_pipeline/data/deliverables/resume_portfolio/by_company/adobe/2026-04-08/690e2f0a221b890c2780b8ea/resume.md")</f>
      </c>
      <c r="Q58"/>
      <c r="R58">
        <f>HYPERLINK("https://careers.adobe.com/us/en/job/ADOBUSR162315EXTERNALENUS/Software-Development-Engineer-3?utm_source=linkedin&amp;utm_medium=phenom-feeds&amp;source=LinkedIn","https://careers.adobe.com/us/en/job/ADOBUSR162315EXTERNALENUS/Software-Development-Engineer-3?utm_source=linkedin&amp;utm_medium=phenom-feeds&amp;source=LinkedIn")</f>
      </c>
    </row>
    <row r="59">
      <c r="A59" t="inlineStr">
        <is>
          <t>TikTok</t>
        </is>
      </c>
      <c r="B59" t="inlineStr">
        <is>
          <t>2026-04-08 04:13:54</t>
        </is>
      </c>
      <c r="C59" t="inlineStr">
        <is>
          <t>69d61c52cfdc6132f9468a50</t>
        </is>
      </c>
      <c r="D59" t="inlineStr">
        <is>
          <t>Machine Learning Scientist Graduate (Global E-commerce Content Recommendation) - 2026 Start (BS/MS)</t>
        </is>
      </c>
      <c r="E59" t="inlineStr">
        <is>
          <t>1_Discovered</t>
        </is>
      </c>
      <c r="F59" t="inlineStr">
        <is>
          <t>local_unified_pipeline</t>
        </is>
      </c>
      <c r="G59" t="inlineStr">
        <is>
          <t>retarget</t>
        </is>
      </c>
      <c r="H59" t="inlineStr">
        <is>
          <t>seed_h2o_ai_engineer</t>
        </is>
      </c>
      <c r="I59" t="inlineStr">
        <is>
          <t>H2O AI Engineer</t>
        </is>
      </c>
      <c r="J59"/>
      <c r="K59"/>
      <c r="L59"/>
      <c r="M59"/>
      <c r="N59">
        <v>86.4</v>
      </c>
      <c r="O59" t="inlineStr">
        <is>
          <t>pending</t>
        </is>
      </c>
      <c r="P59">
        <f>HYPERLINK("file:///Users/jingyizhang/Documents/Playground/projects/local_job_resume_pipeline/data/deliverables/resume_portfolio/by_company/tiktok/2026-04-08/69d61c52cfdc6132f9468a50/resume.md","/Users/jingyizhang/Documents/Playground/projects/local_job_resume_pipeline/data/deliverables/resume_portfolio/by_company/tiktok/2026-04-08/69d61c52cfdc6132f9468a50/resume.md")</f>
      </c>
      <c r="Q59"/>
      <c r="R59">
        <f>HYPERLINK("https://lifeattiktok.com/search/7553175919393802503?spread=5MWH5CQ","https://lifeattiktok.com/search/7553175919393802503?spread=5MWH5CQ")</f>
      </c>
    </row>
    <row r="60">
      <c r="A60" t="inlineStr">
        <is>
          <t>Adobe</t>
        </is>
      </c>
      <c r="B60" t="inlineStr">
        <is>
          <t>2026-04-08 04:13:18</t>
        </is>
      </c>
      <c r="C60" t="inlineStr">
        <is>
          <t>696978a0f25a380066981f0a</t>
        </is>
      </c>
      <c r="D60" t="inlineStr">
        <is>
          <t>Software Developer Engineer 4</t>
        </is>
      </c>
      <c r="E60" t="inlineStr">
        <is>
          <t>1_Discovered</t>
        </is>
      </c>
      <c r="F60" t="inlineStr">
        <is>
          <t>local_unified_pipeline</t>
        </is>
      </c>
      <c r="G60" t="inlineStr">
        <is>
          <t>reuse</t>
        </is>
      </c>
      <c r="H60" t="inlineStr">
        <is>
          <t>seed_itential_generalist_algorithms</t>
        </is>
      </c>
      <c r="I60" t="inlineStr">
        <is>
          <t>Itential Generalist Algorithms</t>
        </is>
      </c>
      <c r="J60"/>
      <c r="K60"/>
      <c r="L60"/>
      <c r="M60"/>
      <c r="N60"/>
      <c r="O60"/>
      <c r="P60"/>
      <c r="Q60"/>
      <c r="R60">
        <f>HYPERLINK("https://careers.adobe.com/us/en/job/ADOBUSR164352EXTERNALENUS/Software-Developer-Engineer-4?utm_source=linkedin&amp;utm_medium=phenom-feeds&amp;source=LinkedIn","https://careers.adobe.com/us/en/job/ADOBUSR164352EXTERNALENUS/Software-Developer-Engineer-4?utm_source=linkedin&amp;utm_medium=phenom-feeds&amp;source=LinkedIn")</f>
      </c>
    </row>
    <row r="61">
      <c r="A61" t="inlineStr">
        <is>
          <t>JPMorganChase</t>
        </is>
      </c>
      <c r="B61" t="inlineStr">
        <is>
          <t>2026-04-08 03:22:35</t>
        </is>
      </c>
      <c r="C61" t="inlineStr">
        <is>
          <t>69d6104ba5c9786095e4919f</t>
        </is>
      </c>
      <c r="D61" t="inlineStr">
        <is>
          <t>Software Engineer III - Java Backend Engineer (API Marketplace)</t>
        </is>
      </c>
      <c r="E61" t="inlineStr">
        <is>
          <t>1_Discovered</t>
        </is>
      </c>
      <c r="F61" t="inlineStr">
        <is>
          <t>local_unified_pipeline</t>
        </is>
      </c>
      <c r="G61" t="inlineStr">
        <is>
          <t>retarget</t>
        </is>
      </c>
      <c r="H61" t="inlineStr">
        <is>
          <t>seed_jpmc_data_mlops_anchor</t>
        </is>
      </c>
      <c r="I61" t="inlineStr">
        <is>
          <t>JPMorganChase Data Platform/MLOps Anchor</t>
        </is>
      </c>
      <c r="J61" t="inlineStr">
        <is>
          <t>jpmc_data_mlops_mainline</t>
        </is>
      </c>
      <c r="K61" t="inlineStr">
        <is>
          <t>mainline</t>
        </is>
      </c>
      <c r="L61"/>
      <c r="M61"/>
      <c r="N61">
        <v>95.7</v>
      </c>
      <c r="O61" t="inlineStr">
        <is>
          <t>pass</t>
        </is>
      </c>
      <c r="P61">
        <f>HYPERLINK("file:///Users/jingyizhang/Documents/Playground/projects/local_job_resume_pipeline/data/deliverables/resume_portfolio/by_company/jpmorganchase/2026-04-08/69d6104ba5c9786095e4919f/resume.md","/Users/jingyizhang/Documents/Playground/projects/local_job_resume_pipeline/data/deliverables/resume_portfolio/by_company/jpmorganchase/2026-04-08/69d6104ba5c9786095e4919f/resume.md")</f>
      </c>
      <c r="Q61"/>
      <c r="R61">
        <f>HYPERLINK("https://JPMorganChase.contacthr.com/151731457","https://JPMorganChase.contacthr.com/151731457")</f>
      </c>
    </row>
    <row r="62">
      <c r="A62" t="inlineStr">
        <is>
          <t>JPMorganChase</t>
        </is>
      </c>
      <c r="B62" t="inlineStr">
        <is>
          <t>2026-04-08 03:12:53</t>
        </is>
      </c>
      <c r="C62" t="inlineStr">
        <is>
          <t>69d60e05cfdc6132f946857c</t>
        </is>
      </c>
      <c r="D62" t="inlineStr">
        <is>
          <t>Applied AIML Data Scientist-Senior Associate</t>
        </is>
      </c>
      <c r="E62" t="inlineStr">
        <is>
          <t>1_Discovered</t>
        </is>
      </c>
      <c r="F62" t="inlineStr">
        <is>
          <t>local_unified_pipeline</t>
        </is>
      </c>
      <c r="G62" t="inlineStr">
        <is>
          <t>new_seed</t>
        </is>
      </c>
      <c r="H62"/>
      <c r="I62"/>
      <c r="J62"/>
      <c r="K62"/>
      <c r="L62"/>
      <c r="M62"/>
      <c r="N62">
        <v>95.6</v>
      </c>
      <c r="O62" t="inlineStr">
        <is>
          <t>pass</t>
        </is>
      </c>
      <c r="P62">
        <f>HYPERLINK("file:///Users/jingyizhang/Documents/Playground/projects/local_job_resume_pipeline/data/deliverables/resume_portfolio/by_company/jpmorganchase/2026-04-08/69d60e05cfdc6132f946857c/resume.md","/Users/jingyizhang/Documents/Playground/projects/local_job_resume_pipeline/data/deliverables/resume_portfolio/by_company/jpmorganchase/2026-04-08/69d60e05cfdc6132f946857c/resume.md")</f>
      </c>
      <c r="Q62"/>
      <c r="R62">
        <f>HYPERLINK("https://JPMorganChase.contacthr.com/151730357","https://JPMorganChase.contacthr.com/151730357")</f>
      </c>
    </row>
    <row r="63">
      <c r="A63" t="inlineStr">
        <is>
          <t>JPMorganChase</t>
        </is>
      </c>
      <c r="B63" t="inlineStr">
        <is>
          <t>2026-04-08 03:12:40</t>
        </is>
      </c>
      <c r="C63" t="inlineStr">
        <is>
          <t>69d60df8706f771673ba931b</t>
        </is>
      </c>
      <c r="D63" t="inlineStr">
        <is>
          <t>Backend Java Software Engineer III</t>
        </is>
      </c>
      <c r="E63" t="inlineStr">
        <is>
          <t>1_Discovered</t>
        </is>
      </c>
      <c r="F63" t="inlineStr">
        <is>
          <t>local_unified_pipeline</t>
        </is>
      </c>
      <c r="G63" t="inlineStr">
        <is>
          <t>reuse</t>
        </is>
      </c>
      <c r="H63" t="inlineStr">
        <is>
          <t>seed_jpmc_data_mlops_anchor</t>
        </is>
      </c>
      <c r="I63" t="inlineStr">
        <is>
          <t>JPMorganChase Data Platform/MLOps Anchor</t>
        </is>
      </c>
      <c r="J63" t="inlineStr">
        <is>
          <t>jpmc_data_mlops_mainline</t>
        </is>
      </c>
      <c r="K63" t="inlineStr">
        <is>
          <t>mainline</t>
        </is>
      </c>
      <c r="L63"/>
      <c r="M63"/>
      <c r="N63"/>
      <c r="O63"/>
      <c r="P63"/>
      <c r="Q63"/>
      <c r="R63">
        <f>HYPERLINK("https://JPMorganChase.contacthr.com/151731515","https://JPMorganChase.contacthr.com/151731515")</f>
      </c>
    </row>
    <row r="64">
      <c r="A64" t="inlineStr">
        <is>
          <t>ByteDance</t>
        </is>
      </c>
      <c r="B64" t="inlineStr">
        <is>
          <t>2026-04-08 03:01:23</t>
        </is>
      </c>
      <c r="C64" t="inlineStr">
        <is>
          <t>69d60b53366bb95ba554b07d</t>
        </is>
      </c>
      <c r="D64" t="inlineStr">
        <is>
          <t>Machine Learning Engineer, AI Coding Tools</t>
        </is>
      </c>
      <c r="E64" t="inlineStr">
        <is>
          <t>1_Discovered</t>
        </is>
      </c>
      <c r="F64" t="inlineStr">
        <is>
          <t>local_unified_pipeline</t>
        </is>
      </c>
      <c r="G64" t="inlineStr">
        <is>
          <t>retarget</t>
        </is>
      </c>
      <c r="H64" t="inlineStr">
        <is>
          <t>seed_bytedance_ml_grad</t>
        </is>
      </c>
      <c r="I64" t="inlineStr">
        <is>
          <t>ByteDance ML Grad</t>
        </is>
      </c>
      <c r="J64"/>
      <c r="K64"/>
      <c r="L64"/>
      <c r="M64"/>
      <c r="N64">
        <v>95.4</v>
      </c>
      <c r="O64" t="inlineStr">
        <is>
          <t>pass</t>
        </is>
      </c>
      <c r="P64">
        <f>HYPERLINK("file:///Users/jingyizhang/Documents/Playground/projects/local_job_resume_pipeline/data/deliverables/resume_portfolio/by_company/bytedance/2026-04-08/69d60b53366bb95ba554b07d/resume.md","/Users/jingyizhang/Documents/Playground/projects/local_job_resume_pipeline/data/deliverables/resume_portfolio/by_company/bytedance/2026-04-08/69d60b53366bb95ba554b07d/resume.md")</f>
      </c>
      <c r="Q64"/>
      <c r="R64">
        <f>HYPERLINK("https://www.linkedin.com/jobs/view/4395965393","https://www.linkedin.com/jobs/view/4395965393")</f>
      </c>
    </row>
    <row r="65">
      <c r="A65" t="inlineStr">
        <is>
          <t>ByteDance</t>
        </is>
      </c>
      <c r="B65" t="inlineStr">
        <is>
          <t>2026-04-08 02:27:47</t>
        </is>
      </c>
      <c r="C65" t="inlineStr">
        <is>
          <t>69d603734a12eb12c5e15a9f</t>
        </is>
      </c>
      <c r="D65" t="inlineStr">
        <is>
          <t>Backend Software Engineer - Security Data</t>
        </is>
      </c>
      <c r="E65" t="inlineStr">
        <is>
          <t>1_Discovered</t>
        </is>
      </c>
      <c r="F65" t="inlineStr">
        <is>
          <t>local_unified_pipeline</t>
        </is>
      </c>
      <c r="G65" t="inlineStr">
        <is>
          <t>retarget</t>
        </is>
      </c>
      <c r="H65" t="inlineStr">
        <is>
          <t>seed_google_cloud_infra_anchor_candidate</t>
        </is>
      </c>
      <c r="I65" t="inlineStr">
        <is>
          <t>Google Cloud Infra Anchor</t>
        </is>
      </c>
      <c r="J65" t="inlineStr">
        <is>
          <t>google_cloud_infra_mainline</t>
        </is>
      </c>
      <c r="K65" t="inlineStr">
        <is>
          <t>mainline</t>
        </is>
      </c>
      <c r="L65"/>
      <c r="M65"/>
      <c r="N65">
        <v>93.7</v>
      </c>
      <c r="O65" t="inlineStr">
        <is>
          <t>pass</t>
        </is>
      </c>
      <c r="P65">
        <f>HYPERLINK("file:///Users/jingyizhang/Documents/Playground/projects/local_job_resume_pipeline/data/deliverables/resume_portfolio/by_company/bytedance/2026-04-08/69d603734a12eb12c5e15a9f/resume.md","/Users/jingyizhang/Documents/Playground/projects/local_job_resume_pipeline/data/deliverables/resume_portfolio/by_company/bytedance/2026-04-08/69d603734a12eb12c5e15a9f/resume.md")</f>
      </c>
      <c r="Q65"/>
      <c r="R65">
        <f>HYPERLINK("https://www.linkedin.com/jobs/view/4395942790","https://www.linkedin.com/jobs/view/4395942790")</f>
      </c>
    </row>
    <row r="66">
      <c r="A66" t="inlineStr">
        <is>
          <t>Thermo Fisher Scientific</t>
        </is>
      </c>
      <c r="B66" t="inlineStr">
        <is>
          <t>2026-04-08 01:19:46</t>
        </is>
      </c>
      <c r="C66" t="inlineStr">
        <is>
          <t>69d5d8a0cfdc6132f946677d</t>
        </is>
      </c>
      <c r="D66" t="inlineStr">
        <is>
          <t>Data Scientist I</t>
        </is>
      </c>
      <c r="E66" t="inlineStr">
        <is>
          <t>1_Discovered</t>
        </is>
      </c>
      <c r="F66" t="inlineStr">
        <is>
          <t>local_unified_pipeline</t>
        </is>
      </c>
      <c r="G66" t="inlineStr">
        <is>
          <t>retarget</t>
        </is>
      </c>
      <c r="H66" t="inlineStr">
        <is>
          <t>seed_h2o_ai_engineer</t>
        </is>
      </c>
      <c r="I66" t="inlineStr">
        <is>
          <t>H2O AI Engineer</t>
        </is>
      </c>
      <c r="J66"/>
      <c r="K66"/>
      <c r="L66"/>
      <c r="M66"/>
      <c r="N66">
        <v>93.7</v>
      </c>
      <c r="O66" t="inlineStr">
        <is>
          <t>pass</t>
        </is>
      </c>
      <c r="P66">
        <f>HYPERLINK("file:///Users/jingyizhang/Documents/Playground/projects/local_job_resume_pipeline/data/deliverables/resume_portfolio/by_company/thermo-fisher-scientific/2026-04-08/69d5d8a0cfdc6132f946677d/resume.md","/Users/jingyizhang/Documents/Playground/projects/local_job_resume_pipeline/data/deliverables/resume_portfolio/by_company/thermo-fisher-scientific/2026-04-08/69d5d8a0cfdc6132f946677d/resume.md")</f>
      </c>
      <c r="Q66"/>
      <c r="R66">
        <f>HYPERLINK("https://jobs.thermofisher.com/global/en/job/R-01345491/Data-Scientist-I?rx_ch=jobpost&amp;rx_id=7d2f6645-32af-11f1-ac04-cfc7f8abaa70&amp;rx_job=R-01345491&amp;rx_medium=post&amp;rx_paid=0&amp;rx_r=none&amp;rx_source=linkedin&amp;rx_ts=20260408T024003Z&amp;rx_vp=linkedindirectindex&amp;utm_medium=post&amp;utm_source=jobright","https://jobs.thermofisher.com/global/en/job/R-01345491/Data-Scientist-I?rx_ch=jobpost&amp;rx_id=7d2f6645-32af-11f1-ac04-cfc7f8abaa70&amp;rx_job=R-01345491&amp;rx_medium=post&amp;rx_paid=0&amp;rx_r=none&amp;rx_source=linkedin&amp;rx_ts=20260408T024003Z&amp;rx_vp=linkedindirectindex&amp;utm_medium=post&amp;utm_source=jobright")</f>
      </c>
    </row>
    <row r="67">
      <c r="A67" t="inlineStr">
        <is>
          <t>Capital One</t>
        </is>
      </c>
      <c r="B67" t="inlineStr">
        <is>
          <t>2026-04-07 08:45:31</t>
        </is>
      </c>
      <c r="C67" t="inlineStr">
        <is>
          <t>69d50a7b891d7b11cfcff19a</t>
        </is>
      </c>
      <c r="D67" t="inlineStr">
        <is>
          <t>Manager, Data Analysis - Card Services</t>
        </is>
      </c>
      <c r="E67" t="inlineStr">
        <is>
          <t>1_Discovered</t>
        </is>
      </c>
      <c r="F67" t="inlineStr">
        <is>
          <t>fanout_batch</t>
        </is>
      </c>
      <c r="G67" t="inlineStr">
        <is>
          <t>retarget</t>
        </is>
      </c>
      <c r="H67" t="inlineStr">
        <is>
          <t>seed_qualified_health_data_engineer</t>
        </is>
      </c>
      <c r="I67" t="inlineStr">
        <is>
          <t>Qualified Health Data Engineer</t>
        </is>
      </c>
      <c r="J67"/>
      <c r="K67"/>
      <c r="L67"/>
      <c r="M67"/>
      <c r="N67">
        <v>89.5</v>
      </c>
      <c r="O67" t="inlineStr">
        <is>
          <t>conditional_pass</t>
        </is>
      </c>
      <c r="P67">
        <f>HYPERLINK("file:///Users/jingyizhang/Documents/Playground/projects/local_job_resume_pipeline/data/deliverables/resume_portfolio/by_company/capital-one/2026-04-07/69d50a7b891d7b11cfcff19a/resume.md","/Users/jingyizhang/Documents/Playground/projects/local_job_resume_pipeline/data/deliverables/resume_portfolio/by_company/capital-one/2026-04-07/69d50a7b891d7b11cfcff19a/resume.md")</f>
      </c>
      <c r="Q67"/>
      <c r="R67">
        <f>HYPERLINK("https://www.capitalonecareers.com/job/-/-/234/89599740960?p_sid=8vIIY5b&amp;p_uid=Hw9UUiy6oz&amp;source=jobright&amp;ss=paid&amp;utm_campaign=capone_all_jobs_26&amp;utm_content=pj_board&amp;utm_medium=jobad&amp;utm_source=jobright","https://www.capitalonecareers.com/job/-/-/234/89599740960?p_sid=8vIIY5b&amp;p_uid=Hw9UUiy6oz&amp;source=jobright&amp;ss=paid&amp;utm_campaign=capone_all_jobs_26&amp;utm_content=pj_board&amp;utm_medium=jobad&amp;utm_source=jobright")</f>
      </c>
    </row>
    <row r="68">
      <c r="A68" t="inlineStr">
        <is>
          <t>OpenAI</t>
        </is>
      </c>
      <c r="B68" t="inlineStr">
        <is>
          <t>2026-04-07 08:44:14</t>
        </is>
      </c>
      <c r="C68" t="inlineStr">
        <is>
          <t>68f3044176a51a4307bca1c4</t>
        </is>
      </c>
      <c r="D68" t="inlineStr">
        <is>
          <t>Data Engineer, Analytics</t>
        </is>
      </c>
      <c r="E68" t="inlineStr">
        <is>
          <t>1_Discovered</t>
        </is>
      </c>
      <c r="F68" t="inlineStr">
        <is>
          <t>fanout_batch</t>
        </is>
      </c>
      <c r="G68" t="inlineStr">
        <is>
          <t>reuse</t>
        </is>
      </c>
      <c r="H68" t="inlineStr">
        <is>
          <t>seed_qualified_health_data_engineer</t>
        </is>
      </c>
      <c r="I68" t="inlineStr">
        <is>
          <t>Qualified Health Data Engineer</t>
        </is>
      </c>
      <c r="J68"/>
      <c r="K68"/>
      <c r="L68"/>
      <c r="M68"/>
      <c r="N68"/>
      <c r="O68"/>
      <c r="P68"/>
      <c r="Q68"/>
      <c r="R68">
        <f>HYPERLINK("https://jobs.ashbyhq.com/openai/fc5bbc77-a30c-4e7a-9acc-8a2e748545b4/application","https://jobs.ashbyhq.com/openai/fc5bbc77-a30c-4e7a-9acc-8a2e748545b4/application")</f>
      </c>
    </row>
    <row r="69">
      <c r="A69" t="inlineStr">
        <is>
          <t>Google</t>
        </is>
      </c>
      <c r="B69" t="inlineStr">
        <is>
          <t>2026-04-07 07:49:07</t>
        </is>
      </c>
      <c r="C69" t="inlineStr">
        <is>
          <t>69d4fd43891d7b11cfcfebdb</t>
        </is>
      </c>
      <c r="D69" t="inlineStr">
        <is>
          <t>Research Data Scientist, Search Ads, Google Experience</t>
        </is>
      </c>
      <c r="E69" t="inlineStr">
        <is>
          <t>1_Discovered</t>
        </is>
      </c>
      <c r="F69" t="inlineStr">
        <is>
          <t>fanout_batch</t>
        </is>
      </c>
      <c r="G69" t="inlineStr">
        <is>
          <t>reuse</t>
        </is>
      </c>
      <c r="H69" t="inlineStr">
        <is>
          <t>seed_google_geo_aiml_anchor</t>
        </is>
      </c>
      <c r="I69" t="inlineStr">
        <is>
          <t>Google Workspace/Geo AIML Anchor</t>
        </is>
      </c>
      <c r="J69" t="inlineStr">
        <is>
          <t>google_product_ai_mainline</t>
        </is>
      </c>
      <c r="K69" t="inlineStr">
        <is>
          <t>mainline</t>
        </is>
      </c>
      <c r="L69"/>
      <c r="M69"/>
      <c r="N69"/>
      <c r="O69"/>
      <c r="P69"/>
      <c r="Q69"/>
      <c r="R69">
        <f>HYPERLINK("https://careers.google.com/jobs/results/137092019926246086-research-data-scientist/?src=Online/LinkedIn/linkedin_us&amp;utm_source=linkedin&amp;utm_medium=jobposting&amp;utm_campaign=contract","https://careers.google.com/jobs/results/137092019926246086-research-data-scientist/?src=Online/LinkedIn/linkedin_us&amp;utm_source=linkedin&amp;utm_medium=jobposting&amp;utm_campaign=contract")</f>
      </c>
    </row>
    <row r="70">
      <c r="A70" t="inlineStr">
        <is>
          <t>Google</t>
        </is>
      </c>
      <c r="B70" t="inlineStr">
        <is>
          <t>2026-04-07 07:28:39</t>
        </is>
      </c>
      <c r="C70" t="inlineStr">
        <is>
          <t>69b84a2756973837413d6fbf</t>
        </is>
      </c>
      <c r="D70" t="inlineStr">
        <is>
          <t>Software Engineer, GenAI, Ads Forecasting</t>
        </is>
      </c>
      <c r="E70" t="inlineStr">
        <is>
          <t>1_Discovered</t>
        </is>
      </c>
      <c r="F70" t="inlineStr">
        <is>
          <t>fanout_batch</t>
        </is>
      </c>
      <c r="G70" t="inlineStr">
        <is>
          <t>reuse</t>
        </is>
      </c>
      <c r="H70" t="inlineStr">
        <is>
          <t>seed_google_geo_aiml_anchor</t>
        </is>
      </c>
      <c r="I70" t="inlineStr">
        <is>
          <t>Google Workspace/Geo AIML Anchor</t>
        </is>
      </c>
      <c r="J70" t="inlineStr">
        <is>
          <t>google_product_ai_mainline</t>
        </is>
      </c>
      <c r="K70" t="inlineStr">
        <is>
          <t>mainline</t>
        </is>
      </c>
      <c r="L70"/>
      <c r="M70"/>
      <c r="N70"/>
      <c r="O70"/>
      <c r="P70"/>
      <c r="Q70"/>
      <c r="R70">
        <f>HYPERLINK("https://careers.google.com/jobs/results/72537856697868998-software-engineer/?src=Online/LinkedIn/linkedin_us&amp;utm_source=linkedin&amp;utm_medium=jobposting&amp;utm_campaign=contract","https://careers.google.com/jobs/results/72537856697868998-software-engineer/?src=Online/LinkedIn/linkedin_us&amp;utm_source=linkedin&amp;utm_medium=jobposting&amp;utm_campaign=contract")</f>
      </c>
    </row>
    <row r="71">
      <c r="A71" t="inlineStr">
        <is>
          <t>Cotiviti</t>
        </is>
      </c>
      <c r="B71" t="inlineStr">
        <is>
          <t>2026-04-07 00:27:18</t>
        </is>
      </c>
      <c r="C71" t="inlineStr">
        <is>
          <t>69d495b6e63cea7a8b65b70c</t>
        </is>
      </c>
      <c r="D71" t="inlineStr">
        <is>
          <t>Senior Software Engineer - Database Developer*</t>
        </is>
      </c>
      <c r="E71" t="inlineStr">
        <is>
          <t>1_Discovered</t>
        </is>
      </c>
      <c r="F71" t="inlineStr">
        <is>
          <t>fanout_batch</t>
        </is>
      </c>
      <c r="G71" t="inlineStr">
        <is>
          <t>reuse</t>
        </is>
      </c>
      <c r="H71" t="inlineStr">
        <is>
          <t>seed_qualified_health_data_engineer</t>
        </is>
      </c>
      <c r="I71" t="inlineStr">
        <is>
          <t>Qualified Health Data Engineer</t>
        </is>
      </c>
      <c r="J71"/>
      <c r="K71"/>
      <c r="L71"/>
      <c r="M71"/>
      <c r="N71"/>
      <c r="O71"/>
      <c r="P71"/>
      <c r="Q71"/>
      <c r="R71">
        <f>HYPERLINK("https://careers-cotiviti.icims.com/jobs/18815/senior-software-engineer---database-developer*/job?in_iframe=1","https://careers-cotiviti.icims.com/jobs/18815/senior-software-engineer---database-developer*/job?in_iframe=1")</f>
      </c>
    </row>
    <row r="72">
      <c r="A72" t="inlineStr">
        <is>
          <t>Rise, a Quad agency</t>
        </is>
      </c>
      <c r="B72" t="inlineStr">
        <is>
          <t>2026-04-06 21:32:55</t>
        </is>
      </c>
      <c r="C72" t="inlineStr">
        <is>
          <t>69d46cd7cfdc6132f945a6a2</t>
        </is>
      </c>
      <c r="D72" t="inlineStr">
        <is>
          <t>Sr Analyst, Analytics, Data Engineering</t>
        </is>
      </c>
      <c r="E72" t="inlineStr">
        <is>
          <t>1_Discovered</t>
        </is>
      </c>
      <c r="F72" t="inlineStr">
        <is>
          <t>fanout_batch</t>
        </is>
      </c>
      <c r="G72" t="inlineStr">
        <is>
          <t>reuse</t>
        </is>
      </c>
      <c r="H72" t="inlineStr">
        <is>
          <t>seed_qualified_health_data_engineer</t>
        </is>
      </c>
      <c r="I72" t="inlineStr">
        <is>
          <t>Qualified Health Data Engineer</t>
        </is>
      </c>
      <c r="J72"/>
      <c r="K72"/>
      <c r="L72"/>
      <c r="M72"/>
      <c r="N72"/>
      <c r="O72"/>
      <c r="P72"/>
      <c r="Q72"/>
      <c r="R72">
        <f>HYPERLINK("https://www.bequad.com/job/chicago/sr-analyst-analytics-data-engineering/11056/92924657152?utm_source=linkedin&amp;utm_medium=jobboard","https://www.bequad.com/job/chicago/sr-analyst-analytics-data-engineering/11056/92924657152?utm_source=linkedin&amp;utm_medium=jobboard")</f>
      </c>
    </row>
    <row r="73">
      <c r="A73" t="inlineStr">
        <is>
          <t>Leoforce</t>
        </is>
      </c>
      <c r="B73" t="inlineStr">
        <is>
          <t>2026-04-06 20:42:13</t>
        </is>
      </c>
      <c r="C73" t="inlineStr">
        <is>
          <t>69d460f5366bb95ba553d02f</t>
        </is>
      </c>
      <c r="D73" t="inlineStr">
        <is>
          <t>Senior Data Engineer</t>
        </is>
      </c>
      <c r="E73" t="inlineStr">
        <is>
          <t>1_Discovered</t>
        </is>
      </c>
      <c r="F73" t="inlineStr">
        <is>
          <t>fanout_batch</t>
        </is>
      </c>
      <c r="G73" t="inlineStr">
        <is>
          <t>reuse</t>
        </is>
      </c>
      <c r="H73" t="inlineStr">
        <is>
          <t>seed_qualified_health_data_engineer</t>
        </is>
      </c>
      <c r="I73" t="inlineStr">
        <is>
          <t>Qualified Health Data Engineer</t>
        </is>
      </c>
      <c r="J73"/>
      <c r="K73"/>
      <c r="L73"/>
      <c r="M73"/>
      <c r="N73"/>
      <c r="O73"/>
      <c r="P73"/>
      <c r="Q73"/>
      <c r="R73">
        <f>HYPERLINK("https://www.indeed.com/viewjob?jk=1fed03d97ea73110","https://www.indeed.com/viewjob?jk=1fed03d97ea73110")</f>
      </c>
    </row>
    <row r="74">
      <c r="A74" t="inlineStr">
        <is>
          <t>Uber</t>
        </is>
      </c>
      <c r="B74" t="inlineStr">
        <is>
          <t>2026-04-06 20:18:42</t>
        </is>
      </c>
      <c r="C74" t="inlineStr">
        <is>
          <t>69d46bec891d7b11cfcfa041</t>
        </is>
      </c>
      <c r="D74" t="inlineStr">
        <is>
          <t>Engagement Growth - Software Engineer II- Full Stack</t>
        </is>
      </c>
      <c r="E74" t="inlineStr">
        <is>
          <t>1_Discovered</t>
        </is>
      </c>
      <c r="F74" t="inlineStr">
        <is>
          <t>fanout_batch</t>
        </is>
      </c>
      <c r="G74" t="inlineStr">
        <is>
          <t>reuse</t>
        </is>
      </c>
      <c r="H74" t="inlineStr">
        <is>
          <t>seed_fullstack_java_react_enterprise</t>
        </is>
      </c>
      <c r="I74" t="inlineStr">
        <is>
          <t>Fullstack Java React Enterprise</t>
        </is>
      </c>
      <c r="J74"/>
      <c r="K74"/>
      <c r="L74"/>
      <c r="M74"/>
      <c r="N74"/>
      <c r="O74"/>
      <c r="P74"/>
      <c r="Q74"/>
      <c r="R74">
        <f>HYPERLINK("https://www.uber.com/global/en/careers/list/157862/?iis=Job%20Board%20-%20Recruitment%20Marketing&amp;iisn=Indeed%20Organic&amp;iisp=organic&amp;ittk=Z160OPAGS8&amp;jClickId=4302c0dd-d200-4baa-b478-09942e4f0622","https://www.uber.com/global/en/careers/list/157862/?iis=Job%20Board%20-%20Recruitment%20Marketing&amp;iisn=Indeed%20Organic&amp;iisp=organic&amp;ittk=Z160OPAGS8&amp;jClickId=4302c0dd-d200-4baa-b478-09942e4f0622")</f>
      </c>
    </row>
    <row r="75">
      <c r="A75" t="inlineStr">
        <is>
          <t>H2O.ai</t>
        </is>
      </c>
      <c r="B75" t="inlineStr">
        <is>
          <t>2026-04-06 19:28:07</t>
        </is>
      </c>
      <c r="C75" t="inlineStr">
        <is>
          <t>69d44f97891d7b11cfcf936b</t>
        </is>
      </c>
      <c r="D75" t="inlineStr">
        <is>
          <t>Senior AI Engineer</t>
        </is>
      </c>
      <c r="E75" t="inlineStr">
        <is>
          <t>1_Discovered</t>
        </is>
      </c>
      <c r="F75" t="inlineStr">
        <is>
          <t>fanout_batch</t>
        </is>
      </c>
      <c r="G75" t="inlineStr">
        <is>
          <t>reuse</t>
        </is>
      </c>
      <c r="H75" t="inlineStr">
        <is>
          <t>seed_h2o_ai_engineer</t>
        </is>
      </c>
      <c r="I75" t="inlineStr">
        <is>
          <t>H2O AI Engineer</t>
        </is>
      </c>
      <c r="J75"/>
      <c r="K75"/>
      <c r="L75"/>
      <c r="M75"/>
      <c r="N75"/>
      <c r="O75"/>
      <c r="P75"/>
      <c r="Q75"/>
      <c r="R75">
        <f>HYPERLINK("http://h2oai.applytojob.com/apply/z4Ve6c4obX?source=LinkedIn","http://h2oai.applytojob.com/apply/z4Ve6c4obX?source=LinkedIn")</f>
      </c>
    </row>
    <row r="76">
      <c r="A76" t="inlineStr">
        <is>
          <t>Lyft</t>
        </is>
      </c>
      <c r="B76" t="inlineStr">
        <is>
          <t>2026-04-06 19:22:54</t>
        </is>
      </c>
      <c r="C76" t="inlineStr">
        <is>
          <t>69d44e5e891d7b11cfcf930b</t>
        </is>
      </c>
      <c r="D76" t="inlineStr">
        <is>
          <t>Software Engineer, Server</t>
        </is>
      </c>
      <c r="E76" t="inlineStr">
        <is>
          <t>1_Discovered</t>
        </is>
      </c>
      <c r="F76" t="inlineStr">
        <is>
          <t>fanout_batch</t>
        </is>
      </c>
      <c r="G76" t="inlineStr">
        <is>
          <t>reuse</t>
        </is>
      </c>
      <c r="H76" t="inlineStr">
        <is>
          <t>seed_itential_generalist_algorithms</t>
        </is>
      </c>
      <c r="I76" t="inlineStr">
        <is>
          <t>Itential Generalist Algorithms</t>
        </is>
      </c>
      <c r="J76"/>
      <c r="K76"/>
      <c r="L76"/>
      <c r="M76"/>
      <c r="N76"/>
      <c r="O76"/>
      <c r="P76"/>
      <c r="Q76"/>
      <c r="R76">
        <f>HYPERLINK("https://boards.greenhouse.io/embed/job_app?token=8492315002&amp;utm_source=jobright","https://boards.greenhouse.io/embed/job_app?token=8492315002&amp;utm_source=jobright")</f>
      </c>
    </row>
    <row r="77">
      <c r="A77" t="inlineStr">
        <is>
          <t>Dell Technologies</t>
        </is>
      </c>
      <c r="B77" t="inlineStr">
        <is>
          <t>2026-04-06 18:23:01</t>
        </is>
      </c>
      <c r="C77" t="inlineStr">
        <is>
          <t>69d44055cfdc6132f94591c0</t>
        </is>
      </c>
      <c r="D77" t="inlineStr">
        <is>
          <t>Advisory AI Data Specialist (FDE Unit)</t>
        </is>
      </c>
      <c r="E77" t="inlineStr">
        <is>
          <t>1_Discovered</t>
        </is>
      </c>
      <c r="F77" t="inlineStr">
        <is>
          <t>fanout_batch</t>
        </is>
      </c>
      <c r="G77" t="inlineStr">
        <is>
          <t>reuse</t>
        </is>
      </c>
      <c r="H77" t="inlineStr">
        <is>
          <t>seed_h2o_ai_engineer</t>
        </is>
      </c>
      <c r="I77" t="inlineStr">
        <is>
          <t>H2O AI Engineer</t>
        </is>
      </c>
      <c r="J77"/>
      <c r="K77"/>
      <c r="L77"/>
      <c r="M77"/>
      <c r="N77"/>
      <c r="O77"/>
      <c r="P77"/>
      <c r="Q77"/>
      <c r="R77">
        <f>HYPERLINK("https://dell.wd1.myworkdayjobs.com/external/job/Remote---New-York-United-States-NY-Metro/Advisory-AI-Data-Specialist--FDE-Unit-_R287598-1","https://dell.wd1.myworkdayjobs.com/external/job/Remote---New-York-United-States-NY-Metro/Advisory-AI-Data-Specialist--FDE-Unit-_R287598-1")</f>
      </c>
    </row>
    <row r="78">
      <c r="A78" t="inlineStr">
        <is>
          <t>Symbotic</t>
        </is>
      </c>
      <c r="B78" t="inlineStr">
        <is>
          <t>2026-04-06 17:54:20</t>
        </is>
      </c>
      <c r="C78" t="inlineStr">
        <is>
          <t>69d4399ce63cea7a8b657dfb</t>
        </is>
      </c>
      <c r="D78" t="inlineStr">
        <is>
          <t>Senior AI Analytics Engineer</t>
        </is>
      </c>
      <c r="E78" t="inlineStr">
        <is>
          <t>1_Discovered</t>
        </is>
      </c>
      <c r="F78" t="inlineStr">
        <is>
          <t>fanout_batch</t>
        </is>
      </c>
      <c r="G78" t="inlineStr">
        <is>
          <t>reuse</t>
        </is>
      </c>
      <c r="H78" t="inlineStr">
        <is>
          <t>seed_h2o_ai_engineer</t>
        </is>
      </c>
      <c r="I78" t="inlineStr">
        <is>
          <t>H2O AI Engineer</t>
        </is>
      </c>
      <c r="J78"/>
      <c r="K78"/>
      <c r="L78"/>
      <c r="M78"/>
      <c r="N78"/>
      <c r="O78"/>
      <c r="P78"/>
      <c r="Q78"/>
      <c r="R78">
        <f>HYPERLINK("https://symbotic.wd504.myworkdayjobs.com/Symbotic/job/USA-Wilmington--MA---HQ/Senior-AI-Analytics-Engineer_R6834?source=LinkedIn","https://symbotic.wd504.myworkdayjobs.com/Symbotic/job/USA-Wilmington--MA---HQ/Senior-AI-Analytics-Engineer_R6834?source=LinkedIn")</f>
      </c>
    </row>
    <row r="79">
      <c r="A79" t="inlineStr">
        <is>
          <t>Autodesk</t>
        </is>
      </c>
      <c r="B79" t="inlineStr">
        <is>
          <t>2026-04-06 17:01:13</t>
        </is>
      </c>
      <c r="C79" t="inlineStr">
        <is>
          <t>69d42d29891d7b11cfcf80b8</t>
        </is>
      </c>
      <c r="D79" t="inlineStr">
        <is>
          <t>Senior Machine Learning Engineer, MLOps</t>
        </is>
      </c>
      <c r="E79" t="inlineStr">
        <is>
          <t>1_Discovered</t>
        </is>
      </c>
      <c r="F79" t="inlineStr">
        <is>
          <t>fanout_batch</t>
        </is>
      </c>
      <c r="G79" t="inlineStr">
        <is>
          <t>reuse</t>
        </is>
      </c>
      <c r="H79" t="inlineStr">
        <is>
          <t>seed_h2o_ai_engineer</t>
        </is>
      </c>
      <c r="I79" t="inlineStr">
        <is>
          <t>H2O AI Engineer</t>
        </is>
      </c>
      <c r="J79"/>
      <c r="K79"/>
      <c r="L79"/>
      <c r="M79"/>
      <c r="N79"/>
      <c r="O79"/>
      <c r="P79"/>
      <c r="Q79"/>
      <c r="R79">
        <f>HYPERLINK("https://autodesk.wd1.myworkdayjobs.com/Ext/job/San-Francisco-CA-USA/Senior-Machine-Learning-Engineer--MLOps_26WD96432-1?src=JB-10065&amp;source=LinkedIn","https://autodesk.wd1.myworkdayjobs.com/Ext/job/San-Francisco-CA-USA/Senior-Machine-Learning-Engineer--MLOps_26WD96432-1?src=JB-10065&amp;source=LinkedIn")</f>
      </c>
    </row>
    <row r="80">
      <c r="A80" t="inlineStr">
        <is>
          <t>Amazon</t>
        </is>
      </c>
      <c r="B80" t="inlineStr">
        <is>
          <t>2026-04-06 15:46:56</t>
        </is>
      </c>
      <c r="C80" t="inlineStr">
        <is>
          <t>69d41bc054f00230c6d2e008</t>
        </is>
      </c>
      <c r="D80" t="inlineStr">
        <is>
          <t>Software Development Engineer, Consumer Domains</t>
        </is>
      </c>
      <c r="E80" t="inlineStr">
        <is>
          <t>1_Discovered</t>
        </is>
      </c>
      <c r="F80" t="inlineStr">
        <is>
          <t>fanout_batch</t>
        </is>
      </c>
      <c r="G80" t="inlineStr">
        <is>
          <t>reuse</t>
        </is>
      </c>
      <c r="H80" t="inlineStr">
        <is>
          <t>seed_itential_generalist_algorithms</t>
        </is>
      </c>
      <c r="I80" t="inlineStr">
        <is>
          <t>Itential Generalist Algorithms</t>
        </is>
      </c>
      <c r="J80"/>
      <c r="K80"/>
      <c r="L80"/>
      <c r="M80"/>
      <c r="N80"/>
      <c r="O80"/>
      <c r="P80"/>
      <c r="Q80"/>
      <c r="R80">
        <f>HYPERLINK("https://www.amazon.jobs/en/jobs/10384020/software-development-engineer-consumer-domains","https://www.amazon.jobs/en/jobs/10384020/software-development-engineer-consumer-domains")</f>
      </c>
    </row>
    <row r="81">
      <c r="A81" t="inlineStr">
        <is>
          <t>Google</t>
        </is>
      </c>
      <c r="B81" t="inlineStr">
        <is>
          <t>2026-04-06 14:38:25</t>
        </is>
      </c>
      <c r="C81" t="inlineStr">
        <is>
          <t>69d40bb1366bb95ba553a060</t>
        </is>
      </c>
      <c r="D81" t="inlineStr">
        <is>
          <t>Business Intelligence Generalist, Product Data Warehouse</t>
        </is>
      </c>
      <c r="E81" t="inlineStr">
        <is>
          <t>1_Discovered</t>
        </is>
      </c>
      <c r="F81" t="inlineStr">
        <is>
          <t>fanout_batch</t>
        </is>
      </c>
      <c r="G81" t="inlineStr">
        <is>
          <t>reuse</t>
        </is>
      </c>
      <c r="H81" t="inlineStr">
        <is>
          <t>seed_google_geo_aiml_anchor</t>
        </is>
      </c>
      <c r="I81" t="inlineStr">
        <is>
          <t>Google Workspace/Geo AIML Anchor</t>
        </is>
      </c>
      <c r="J81" t="inlineStr">
        <is>
          <t>google_product_ai_mainline</t>
        </is>
      </c>
      <c r="K81" t="inlineStr">
        <is>
          <t>mainline</t>
        </is>
      </c>
      <c r="L81"/>
      <c r="M81"/>
      <c r="N81"/>
      <c r="O81"/>
      <c r="P81"/>
      <c r="Q81"/>
      <c r="R81">
        <f>HYPERLINK("https://careers.google.com/jobs/results/82858540166718150-business-intelligence-generalist/?src=Online/LinkedIn/linkedin_us&amp;utm_source=linkedin&amp;utm_medium=jobposting&amp;utm_campaign=contract","https://careers.google.com/jobs/results/82858540166718150-business-intelligence-generalist/?src=Online/LinkedIn/linkedin_us&amp;utm_source=linkedin&amp;utm_medium=jobposting&amp;utm_campaign=contract")</f>
      </c>
    </row>
    <row r="82">
      <c r="A82" t="inlineStr">
        <is>
          <t>Hertz</t>
        </is>
      </c>
      <c r="B82" t="inlineStr">
        <is>
          <t>2026-04-06 14:38:08</t>
        </is>
      </c>
      <c r="C82" t="inlineStr">
        <is>
          <t>69d40ba0e63cea7a8b65621c</t>
        </is>
      </c>
      <c r="D82" t="inlineStr">
        <is>
          <t>Sr Trust and Safety Data Analyst</t>
        </is>
      </c>
      <c r="E82" t="inlineStr">
        <is>
          <t>1_Discovered</t>
        </is>
      </c>
      <c r="F82" t="inlineStr">
        <is>
          <t>fanout_batch</t>
        </is>
      </c>
      <c r="G82" t="inlineStr">
        <is>
          <t>retarget</t>
        </is>
      </c>
      <c r="H82" t="inlineStr">
        <is>
          <t>seed_qualified_health_data_engineer</t>
        </is>
      </c>
      <c r="I82" t="inlineStr">
        <is>
          <t>Qualified Health Data Engineer</t>
        </is>
      </c>
      <c r="J82"/>
      <c r="K82"/>
      <c r="L82"/>
      <c r="M82"/>
      <c r="N82">
        <v>95.3</v>
      </c>
      <c r="O82" t="inlineStr">
        <is>
          <t>pass</t>
        </is>
      </c>
      <c r="P82">
        <f>HYPERLINK("file:///Users/jingyizhang/Documents/Playground/projects/local_job_resume_pipeline/data/deliverables/resume_portfolio/by_company/hertz/2026-04-06/69d40ba0e63cea7a8b65621c/resume.md","/Users/jingyizhang/Documents/Playground/projects/local_job_resume_pipeline/data/deliverables/resume_portfolio/by_company/hertz/2026-04-06/69d40ba0e63cea7a8b65621c/resume.md")</f>
      </c>
      <c r="Q82"/>
      <c r="R82">
        <f>HYPERLINK("https://fa-evlf-saasfaprod1.fa.ocs.oraclecloud.com/hcmUI/CandidateExperience/en/job/37418/?utm_medium=jobboard&amp;utm_source=linkedin","https://fa-evlf-saasfaprod1.fa.ocs.oraclecloud.com/hcmUI/CandidateExperience/en/job/37418/?utm_medium=jobboard&amp;utm_source=linkedin")</f>
      </c>
    </row>
    <row r="83">
      <c r="A83" t="inlineStr">
        <is>
          <t>Intel</t>
        </is>
      </c>
      <c r="B83" t="inlineStr">
        <is>
          <t>2026-04-06 14:38:02</t>
        </is>
      </c>
      <c r="C83" t="inlineStr">
        <is>
          <t>69d40b9acdb525785fbc5c5d</t>
        </is>
      </c>
      <c r="D83" t="inlineStr">
        <is>
          <t>Development Tools Software Engineer</t>
        </is>
      </c>
      <c r="E83" t="inlineStr">
        <is>
          <t>1_Discovered</t>
        </is>
      </c>
      <c r="F83" t="inlineStr">
        <is>
          <t>fanout_batch</t>
        </is>
      </c>
      <c r="G83" t="inlineStr">
        <is>
          <t>reuse</t>
        </is>
      </c>
      <c r="H83" t="inlineStr">
        <is>
          <t>seed_microsoft_polyglot_generalist</t>
        </is>
      </c>
      <c r="I83" t="inlineStr">
        <is>
          <t>Microsoft Polyglot Generalist</t>
        </is>
      </c>
      <c r="J83"/>
      <c r="K83"/>
      <c r="L83"/>
      <c r="M83"/>
      <c r="N83"/>
      <c r="O83"/>
      <c r="P83"/>
      <c r="Q83"/>
      <c r="R83">
        <f>HYPERLINK("https://intel.wd1.myworkdayjobs.com/External/job/US-California-Santa-Clara/Development-Tools-Software-Engineer_JR0282258","https://intel.wd1.myworkdayjobs.com/External/job/US-California-Santa-Clara/Development-Tools-Software-Engineer_JR0282258")</f>
      </c>
    </row>
    <row r="84">
      <c r="A84" t="inlineStr">
        <is>
          <t>Shelter Insurance Companies</t>
        </is>
      </c>
      <c r="B84" t="inlineStr">
        <is>
          <t>2026-04-06 14:33:19</t>
        </is>
      </c>
      <c r="C84" t="inlineStr">
        <is>
          <t>69d40a7fe63cea7a8b65619c</t>
        </is>
      </c>
      <c r="D84" t="inlineStr">
        <is>
          <t>Enterprise Data Analyst</t>
        </is>
      </c>
      <c r="E84" t="inlineStr">
        <is>
          <t>1_Discovered</t>
        </is>
      </c>
      <c r="F84" t="inlineStr">
        <is>
          <t>fanout_batch</t>
        </is>
      </c>
      <c r="G84" t="inlineStr">
        <is>
          <t>retarget</t>
        </is>
      </c>
      <c r="H84" t="inlineStr">
        <is>
          <t>seed_qualified_health_data_engineer</t>
        </is>
      </c>
      <c r="I84" t="inlineStr">
        <is>
          <t>Qualified Health Data Engineer</t>
        </is>
      </c>
      <c r="J84"/>
      <c r="K84"/>
      <c r="L84"/>
      <c r="M84"/>
      <c r="N84">
        <v>93.7</v>
      </c>
      <c r="O84" t="inlineStr">
        <is>
          <t>pass</t>
        </is>
      </c>
      <c r="P84">
        <f>HYPERLINK("file:///Users/jingyizhang/Documents/Playground/projects/local_job_resume_pipeline/data/deliverables/resume_portfolio/by_company/shelter-insurance-companies/2026-04-06/69d40a7fe63cea7a8b65619c/resume.md","/Users/jingyizhang/Documents/Playground/projects/local_job_resume_pipeline/data/deliverables/resume_portfolio/by_company/shelter-insurance-companies/2026-04-06/69d40a7fe63cea7a8b65619c/resume.md")</f>
      </c>
      <c r="Q84"/>
      <c r="R84">
        <f>HYPERLINK("https://shelterinsurance.wd5.myworkdayjobs.com/careers/job/Columbia-MO---Corporate-Office/Enterprise-Data-Analyst_R0008688?source=LinkedIn","https://shelterinsurance.wd5.myworkdayjobs.com/careers/job/Columbia-MO---Corporate-Office/Enterprise-Data-Analyst_R0008688?source=LinkedIn")</f>
      </c>
    </row>
    <row r="85">
      <c r="A85" t="inlineStr">
        <is>
          <t>CLA (CliftonLarsonAllen)</t>
        </is>
      </c>
      <c r="B85" t="inlineStr">
        <is>
          <t>2026-04-06 14:33:08</t>
        </is>
      </c>
      <c r="C85" t="inlineStr">
        <is>
          <t>69d40a74366bb95ba5539fd0</t>
        </is>
      </c>
      <c r="D85" t="inlineStr">
        <is>
          <t>Cloud Operations Senior</t>
        </is>
      </c>
      <c r="E85" t="inlineStr">
        <is>
          <t>1_Discovered</t>
        </is>
      </c>
      <c r="F85" t="inlineStr">
        <is>
          <t>fanout_batch</t>
        </is>
      </c>
      <c r="G85" t="inlineStr">
        <is>
          <t>reuse</t>
        </is>
      </c>
      <c r="H85" t="inlineStr">
        <is>
          <t>seed_fireblocks_sre_anchor</t>
        </is>
      </c>
      <c r="I85" t="inlineStr">
        <is>
          <t>Fireblocks SRE Anchor</t>
        </is>
      </c>
      <c r="J85"/>
      <c r="K85"/>
      <c r="L85"/>
      <c r="M85"/>
      <c r="N85"/>
      <c r="O85"/>
      <c r="P85"/>
      <c r="Q85"/>
      <c r="R85">
        <f>HYPERLINK("https://cliftonlarsonallen.wd1.myworkdayjobs.com/CLA/job/Milwaukee-WI/Cloud-Operations-Senior_R17213?src=APPLICANT_SOURCE-3-38","https://cliftonlarsonallen.wd1.myworkdayjobs.com/CLA/job/Milwaukee-WI/Cloud-Operations-Senior_R17213?src=APPLICANT_SOURCE-3-38")</f>
      </c>
    </row>
    <row r="86">
      <c r="A86" t="inlineStr">
        <is>
          <t>Duke University</t>
        </is>
      </c>
      <c r="B86" t="inlineStr">
        <is>
          <t>2026-04-06 14:27:01</t>
        </is>
      </c>
      <c r="C86" t="inlineStr">
        <is>
          <t>69d4090554f00230c6d2d94d</t>
        </is>
      </c>
      <c r="D86" t="inlineStr">
        <is>
          <t>Developer - AI &amp; Data Integrations</t>
        </is>
      </c>
      <c r="E86" t="inlineStr">
        <is>
          <t>1_Discovered</t>
        </is>
      </c>
      <c r="F86" t="inlineStr">
        <is>
          <t>fanout_batch</t>
        </is>
      </c>
      <c r="G86" t="inlineStr">
        <is>
          <t>reuse</t>
        </is>
      </c>
      <c r="H86" t="inlineStr">
        <is>
          <t>seed_h2o_ai_engineer</t>
        </is>
      </c>
      <c r="I86" t="inlineStr">
        <is>
          <t>H2O AI Engineer</t>
        </is>
      </c>
      <c r="J86"/>
      <c r="K86"/>
      <c r="L86"/>
      <c r="M86"/>
      <c r="N86"/>
      <c r="O86"/>
      <c r="P86"/>
      <c r="Q86"/>
      <c r="R86">
        <f>HYPERLINK("https://careers.duke.edu/job/Durham-Developer-AI-&amp;-Data-Integrations-NC-27710/1379804200/","https://careers.duke.edu/job/Durham-Developer-AI-&amp;-Data-Integrations-NC-27710/1379804200/")</f>
      </c>
    </row>
    <row r="87">
      <c r="A87" t="inlineStr">
        <is>
          <t>International Rescue Committee</t>
        </is>
      </c>
      <c r="B87" t="inlineStr">
        <is>
          <t>2026-04-06 14:26:57</t>
        </is>
      </c>
      <c r="C87" t="inlineStr">
        <is>
          <t>69d4090254f00230c6d2d921</t>
        </is>
      </c>
      <c r="D87" t="inlineStr">
        <is>
          <t>Data Analyst</t>
        </is>
      </c>
      <c r="E87" t="inlineStr">
        <is>
          <t>1_Discovered</t>
        </is>
      </c>
      <c r="F87" t="inlineStr">
        <is>
          <t>fanout_batch</t>
        </is>
      </c>
      <c r="G87" t="inlineStr">
        <is>
          <t>reuse</t>
        </is>
      </c>
      <c r="H87" t="inlineStr">
        <is>
          <t>seed_plaid_data_scientist</t>
        </is>
      </c>
      <c r="I87" t="inlineStr">
        <is>
          <t>Plaid Data Scientist</t>
        </is>
      </c>
      <c r="J87"/>
      <c r="K87"/>
      <c r="L87"/>
      <c r="M87"/>
      <c r="N87"/>
      <c r="O87"/>
      <c r="P87"/>
      <c r="Q87"/>
      <c r="R87">
        <f>HYPERLINK("https://theirc.wd1.myworkdayjobs.com/en-US/External_Careers/job/New-York-NY-HQ-USA/Data-Analyst_JR00002830?source=LinkedIn","https://theirc.wd1.myworkdayjobs.com/en-US/External_Careers/job/New-York-NY-HQ-USA/Data-Analyst_JR00002830?source=LinkedIn")</f>
      </c>
    </row>
    <row r="88">
      <c r="A88" t="inlineStr">
        <is>
          <t>SS&amp;C Technologies</t>
        </is>
      </c>
      <c r="B88" t="inlineStr">
        <is>
          <t>2026-04-06 14:26:32</t>
        </is>
      </c>
      <c r="C88" t="inlineStr">
        <is>
          <t>69d408e8891d7b11cfcf6c78</t>
        </is>
      </c>
      <c r="D88" t="inlineStr">
        <is>
          <t>Software Quality Assurance Analyst</t>
        </is>
      </c>
      <c r="E88" t="inlineStr">
        <is>
          <t>1_Discovered</t>
        </is>
      </c>
      <c r="F88" t="inlineStr">
        <is>
          <t>fanout_batch</t>
        </is>
      </c>
      <c r="G88" t="inlineStr">
        <is>
          <t>reuse</t>
        </is>
      </c>
      <c r="H88" t="inlineStr">
        <is>
          <t>seed_magnite_sdet</t>
        </is>
      </c>
      <c r="I88" t="inlineStr">
        <is>
          <t>Magnite SDET</t>
        </is>
      </c>
      <c r="J88"/>
      <c r="K88"/>
      <c r="L88"/>
      <c r="M88"/>
      <c r="N88"/>
      <c r="O88"/>
      <c r="P88"/>
      <c r="Q88"/>
      <c r="R88">
        <f>HYPERLINK("https://wd1.myworkdaysite.com/recruiting/ssctech/SSCTechnologies/job/Fort-Worth-TX/Software-Quality-Assurance-Analyst_R42041-1?source=LinkedIn","https://wd1.myworkdaysite.com/recruiting/ssctech/SSCTechnologies/job/Fort-Worth-TX/Software-Quality-Assurance-Analyst_R42041-1?source=LinkedIn")</f>
      </c>
    </row>
    <row r="89">
      <c r="A89" t="inlineStr">
        <is>
          <t>FTI</t>
        </is>
      </c>
      <c r="B89" t="inlineStr">
        <is>
          <t>2026-04-06 14:26:05</t>
        </is>
      </c>
      <c r="C89" t="inlineStr">
        <is>
          <t>69d408cdcdb525785fbc5a61</t>
        </is>
      </c>
      <c r="D89" t="inlineStr">
        <is>
          <t>Software Quality Assurance and Support Analyst</t>
        </is>
      </c>
      <c r="E89" t="inlineStr">
        <is>
          <t>1_Discovered</t>
        </is>
      </c>
      <c r="F89" t="inlineStr">
        <is>
          <t>fanout_batch</t>
        </is>
      </c>
      <c r="G89" t="inlineStr">
        <is>
          <t>reuse</t>
        </is>
      </c>
      <c r="H89" t="inlineStr">
        <is>
          <t>seed_magnite_sdet</t>
        </is>
      </c>
      <c r="I89" t="inlineStr">
        <is>
          <t>Magnite SDET</t>
        </is>
      </c>
      <c r="J89"/>
      <c r="K89"/>
      <c r="L89"/>
      <c r="M89"/>
      <c r="N89"/>
      <c r="O89"/>
      <c r="P89"/>
      <c r="Q89"/>
      <c r="R89">
        <f>HYPERLINK("https://faithtechnologies.wd1.myworkdayjobs.com/FTI/job/WI---Menasha/Software-Quality-Assurance-and-Support-Analyst_R9357-1?source=LinkedIn","https://faithtechnologies.wd1.myworkdayjobs.com/FTI/job/WI---Menasha/Software-Quality-Assurance-and-Support-Analyst_R9357-1?source=LinkedIn")</f>
      </c>
    </row>
    <row r="90">
      <c r="A90" t="inlineStr">
        <is>
          <t>DeVry University</t>
        </is>
      </c>
      <c r="B90" t="inlineStr">
        <is>
          <t>2026-04-06 14:26:05</t>
        </is>
      </c>
      <c r="C90" t="inlineStr">
        <is>
          <t>69d408cd366bb95ba5539e7e</t>
        </is>
      </c>
      <c r="D90" t="inlineStr">
        <is>
          <t>Sr. Reporting and Data Analyst, Operations and Innovation</t>
        </is>
      </c>
      <c r="E90" t="inlineStr">
        <is>
          <t>1_Discovered</t>
        </is>
      </c>
      <c r="F90" t="inlineStr">
        <is>
          <t>fanout_batch</t>
        </is>
      </c>
      <c r="G90" t="inlineStr">
        <is>
          <t>reuse</t>
        </is>
      </c>
      <c r="H90" t="inlineStr">
        <is>
          <t>seed_plaid_data_scientist</t>
        </is>
      </c>
      <c r="I90" t="inlineStr">
        <is>
          <t>Plaid Data Scientist</t>
        </is>
      </c>
      <c r="J90"/>
      <c r="K90"/>
      <c r="L90"/>
      <c r="M90"/>
      <c r="N90"/>
      <c r="O90"/>
      <c r="P90"/>
      <c r="Q90"/>
      <c r="R90">
        <f>HYPERLINK("https://jobs.dayforcehcm.com/en-US/devry/CANDIDATEPORTAL/jobs/13332","https://jobs.dayforcehcm.com/en-US/devry/CANDIDATEPORTAL/jobs/13332")</f>
      </c>
    </row>
    <row r="91">
      <c r="A91" t="inlineStr">
        <is>
          <t>SYNCREON</t>
        </is>
      </c>
      <c r="B91" t="inlineStr">
        <is>
          <t>2026-04-06 14:26:04</t>
        </is>
      </c>
      <c r="C91" t="inlineStr">
        <is>
          <t>69d408cc366bb95ba5539e7a</t>
        </is>
      </c>
      <c r="D91" t="inlineStr">
        <is>
          <t>Data Management &amp; Quantitative Analyst I</t>
        </is>
      </c>
      <c r="E91" t="inlineStr">
        <is>
          <t>1_Discovered</t>
        </is>
      </c>
      <c r="F91" t="inlineStr">
        <is>
          <t>fanout_batch</t>
        </is>
      </c>
      <c r="G91" t="inlineStr">
        <is>
          <t>reuse</t>
        </is>
      </c>
      <c r="H91" t="inlineStr">
        <is>
          <t>seed_plaid_data_scientist</t>
        </is>
      </c>
      <c r="I91" t="inlineStr">
        <is>
          <t>Plaid Data Scientist</t>
        </is>
      </c>
      <c r="J91"/>
      <c r="K91"/>
      <c r="L91"/>
      <c r="M91"/>
      <c r="N91"/>
      <c r="O91"/>
      <c r="P91"/>
      <c r="Q91"/>
      <c r="R91">
        <f>HYPERLINK("https://jobs.smartrecruiters.com/SyncreonConsulting/744000118926247-data-management-quantitative-analyst-i","https://jobs.smartrecruiters.com/SyncreonConsulting/744000118926247-data-management-quantitative-analyst-i")</f>
      </c>
    </row>
    <row r="92">
      <c r="A92" t="inlineStr">
        <is>
          <t>Systems Integration &amp; Development, Inc.</t>
        </is>
      </c>
      <c r="B92" t="inlineStr">
        <is>
          <t>2026-04-06 14:25:57</t>
        </is>
      </c>
      <c r="C92" t="inlineStr">
        <is>
          <t>69d408c5891d7b11cfcf6bc6</t>
        </is>
      </c>
      <c r="D92" t="inlineStr">
        <is>
          <t>Drupal Developer</t>
        </is>
      </c>
      <c r="E92" t="inlineStr">
        <is>
          <t>1_Discovered</t>
        </is>
      </c>
      <c r="F92" t="inlineStr">
        <is>
          <t>fanout_batch</t>
        </is>
      </c>
      <c r="G92" t="inlineStr">
        <is>
          <t>retarget</t>
        </is>
      </c>
      <c r="H92" t="inlineStr">
        <is>
          <t>seed_generalist_dotnet_enterprise</t>
        </is>
      </c>
      <c r="I92" t="inlineStr">
        <is>
          <t>Generalist DotNet Enterprise</t>
        </is>
      </c>
      <c r="J92"/>
      <c r="K92"/>
      <c r="L92"/>
      <c r="M92"/>
      <c r="N92">
        <v>91.2</v>
      </c>
      <c r="O92" t="inlineStr">
        <is>
          <t>conditional_pass</t>
        </is>
      </c>
      <c r="P92">
        <f>HYPERLINK("file:///Users/jingyizhang/Documents/Playground/projects/local_job_resume_pipeline/data/deliverables/resume_portfolio/by_company/systems-integration-development-inc/2026-04-06/69d408c5891d7b11cfcf6bc6/resume.md","/Users/jingyizhang/Documents/Playground/projects/local_job_resume_pipeline/data/deliverables/resume_portfolio/by_company/systems-integration-development-inc/2026-04-06/69d408c5891d7b11cfcf6bc6/resume.md")</f>
      </c>
      <c r="Q92"/>
      <c r="R92">
        <f>HYPERLINK("https://apply.workable.com/astorandsanders/j/791A166672/","https://apply.workable.com/astorandsanders/j/791A166672/")</f>
      </c>
    </row>
    <row r="93">
      <c r="A93" t="inlineStr">
        <is>
          <t>Duke University Health System</t>
        </is>
      </c>
      <c r="B93" t="inlineStr">
        <is>
          <t>2026-04-06 14:25:48</t>
        </is>
      </c>
      <c r="C93" t="inlineStr">
        <is>
          <t>69d408bc54f00230c6d2d7cc</t>
        </is>
      </c>
      <c r="D93" t="inlineStr">
        <is>
          <t>Developer - AI &amp; Data Integrations</t>
        </is>
      </c>
      <c r="E93" t="inlineStr">
        <is>
          <t>1_Discovered</t>
        </is>
      </c>
      <c r="F93" t="inlineStr">
        <is>
          <t>fanout_batch</t>
        </is>
      </c>
      <c r="G93" t="inlineStr">
        <is>
          <t>reuse</t>
        </is>
      </c>
      <c r="H93" t="inlineStr">
        <is>
          <t>seed_h2o_ai_engineer</t>
        </is>
      </c>
      <c r="I93" t="inlineStr">
        <is>
          <t>H2O AI Engineer</t>
        </is>
      </c>
      <c r="J93"/>
      <c r="K93"/>
      <c r="L93"/>
      <c r="M93"/>
      <c r="N93"/>
      <c r="O93"/>
      <c r="P93"/>
      <c r="Q93"/>
      <c r="R93">
        <f>HYPERLINK("https://careers.dukehealth.org/us/en/job/DUHDUHUS268409EXTERNALENUS/Developer-AI-Data-Integrations?utm_source=linkedin&amp;utm_medium=phenom-feeds","https://careers.dukehealth.org/us/en/job/DUHDUHUS268409EXTERNALENUS/Developer-AI-Data-Integrations?utm_source=linkedin&amp;utm_medium=phenom-feeds")</f>
      </c>
    </row>
    <row r="94">
      <c r="A94" t="inlineStr">
        <is>
          <t>RA Capital Management</t>
        </is>
      </c>
      <c r="B94" t="inlineStr">
        <is>
          <t>2026-04-06 14:17:05</t>
        </is>
      </c>
      <c r="C94" t="inlineStr">
        <is>
          <t>69d406b1891d7b11cfcf69fe</t>
        </is>
      </c>
      <c r="D94" t="inlineStr">
        <is>
          <t>Software Engineer, AI/ML</t>
        </is>
      </c>
      <c r="E94" t="inlineStr">
        <is>
          <t>1_Discovered</t>
        </is>
      </c>
      <c r="F94" t="inlineStr">
        <is>
          <t>fanout_batch</t>
        </is>
      </c>
      <c r="G94" t="inlineStr">
        <is>
          <t>retarget</t>
        </is>
      </c>
      <c r="H94" t="inlineStr">
        <is>
          <t>seed_bytedance_ml_grad</t>
        </is>
      </c>
      <c r="I94" t="inlineStr">
        <is>
          <t>ByteDance ML Grad</t>
        </is>
      </c>
      <c r="J94"/>
      <c r="K94"/>
      <c r="L94"/>
      <c r="M94"/>
      <c r="N94">
        <v>94.2</v>
      </c>
      <c r="O94" t="inlineStr">
        <is>
          <t>pass</t>
        </is>
      </c>
      <c r="P94">
        <f>HYPERLINK("file:///Users/jingyizhang/Documents/Playground/projects/local_job_resume_pipeline/data/deliverables/resume_portfolio/by_company/ra-capital-management/2026-04-06/69d406b1891d7b11cfcf69fe/resume.md","/Users/jingyizhang/Documents/Playground/projects/local_job_resume_pipeline/data/deliverables/resume_portfolio/by_company/ra-capital-management/2026-04-06/69d406b1891d7b11cfcf69fe/resume.md")</f>
      </c>
      <c r="Q94"/>
      <c r="R94">
        <f>HYPERLINK("https://boards.greenhouse.io/embed/job_app?token=4563736008&amp;utm_source=jobright","https://boards.greenhouse.io/embed/job_app?token=4563736008&amp;utm_source=jobright")</f>
      </c>
    </row>
    <row r="95">
      <c r="A95" t="inlineStr">
        <is>
          <t>University of Minnesota</t>
        </is>
      </c>
      <c r="B95" t="inlineStr">
        <is>
          <t>2026-04-06 14:04:59</t>
        </is>
      </c>
      <c r="C95" t="inlineStr">
        <is>
          <t>69d403db891d7b11cfcf693f</t>
        </is>
      </c>
      <c r="D95" t="inlineStr">
        <is>
          <t>Geospatial Data Scientist</t>
        </is>
      </c>
      <c r="E95" t="inlineStr">
        <is>
          <t>1_Discovered</t>
        </is>
      </c>
      <c r="F95" t="inlineStr">
        <is>
          <t>fanout_batch</t>
        </is>
      </c>
      <c r="G95" t="inlineStr">
        <is>
          <t>retarget</t>
        </is>
      </c>
      <c r="H95" t="inlineStr">
        <is>
          <t>seed_bytedance_ml_grad</t>
        </is>
      </c>
      <c r="I95" t="inlineStr">
        <is>
          <t>ByteDance ML Grad</t>
        </is>
      </c>
      <c r="J95"/>
      <c r="K95"/>
      <c r="L95"/>
      <c r="M95"/>
      <c r="N95">
        <v>94.2</v>
      </c>
      <c r="O95" t="inlineStr">
        <is>
          <t>pass</t>
        </is>
      </c>
      <c r="P95">
        <f>HYPERLINK("file:///Users/jingyizhang/Documents/Playground/projects/local_job_resume_pipeline/data/deliverables/resume_portfolio/by_company/university-of-minnesota/2026-04-06/69d403db891d7b11cfcf693f/resume.md","/Users/jingyizhang/Documents/Playground/projects/local_job_resume_pipeline/data/deliverables/resume_portfolio/by_company/university-of-minnesota/2026-04-06/69d403db891d7b11cfcf693f/resume.md")</f>
      </c>
      <c r="Q95"/>
      <c r="R95">
        <f>HYPERLINK("https://hr.myu.umn.edu/psc/hrprd/EMPLOYEE/HRMS/c/HRS_HRAM_FL.HRS_CG_SEARCH_FL.GBL?Page=HRS_APP_JBPST_FL&amp;Action=U&amp;SiteId=1&amp;FOCUS=Applicant&amp;JobOpeningId=373099&amp;PostingSeq=1&amp;","https://hr.myu.umn.edu/psc/hrprd/EMPLOYEE/HRMS/c/HRS_HRAM_FL.HRS_CG_SEARCH_FL.GBL?Page=HRS_APP_JBPST_FL&amp;Action=U&amp;SiteId=1&amp;FOCUS=Applicant&amp;JobOpeningId=373099&amp;PostingSeq=1&amp;")</f>
      </c>
    </row>
    <row r="96">
      <c r="A96" t="inlineStr">
        <is>
          <t>SPECTRAFORCE</t>
        </is>
      </c>
      <c r="B96" t="inlineStr">
        <is>
          <t>2026-04-06 13:59:29</t>
        </is>
      </c>
      <c r="C96" t="inlineStr">
        <is>
          <t>69d40291cdb525785fbc57a2</t>
        </is>
      </c>
      <c r="D96" t="inlineStr">
        <is>
          <t>Data Scientist - W2</t>
        </is>
      </c>
      <c r="E96" t="inlineStr">
        <is>
          <t>1_Discovered</t>
        </is>
      </c>
      <c r="F96" t="inlineStr">
        <is>
          <t>fanout_batch</t>
        </is>
      </c>
      <c r="G96" t="inlineStr">
        <is>
          <t>reuse</t>
        </is>
      </c>
      <c r="H96" t="inlineStr">
        <is>
          <t>seed_plaid_data_scientist</t>
        </is>
      </c>
      <c r="I96" t="inlineStr">
        <is>
          <t>Plaid Data Scientist</t>
        </is>
      </c>
      <c r="J96"/>
      <c r="K96"/>
      <c r="L96"/>
      <c r="M96"/>
      <c r="N96"/>
      <c r="O96"/>
      <c r="P96"/>
      <c r="Q96"/>
      <c r="R96">
        <f>HYPERLINK("https://www.linkedin.com/jobs/view/4398039688","https://www.linkedin.com/jobs/view/4398039688")</f>
      </c>
    </row>
    <row r="97">
      <c r="A97" t="inlineStr">
        <is>
          <t>Motorola Solutions</t>
        </is>
      </c>
      <c r="B97" t="inlineStr">
        <is>
          <t>2026-04-06 13:59:21</t>
        </is>
      </c>
      <c r="C97" t="inlineStr">
        <is>
          <t>69d40289cdb525785fbc5793</t>
        </is>
      </c>
      <c r="D97" t="inlineStr">
        <is>
          <t>Software Engineer</t>
        </is>
      </c>
      <c r="E97" t="inlineStr">
        <is>
          <t>1_Discovered</t>
        </is>
      </c>
      <c r="F97" t="inlineStr">
        <is>
          <t>fanout_batch</t>
        </is>
      </c>
      <c r="G97" t="inlineStr">
        <is>
          <t>reuse</t>
        </is>
      </c>
      <c r="H97" t="inlineStr">
        <is>
          <t>seed_fireblocks_sre_anchor</t>
        </is>
      </c>
      <c r="I97" t="inlineStr">
        <is>
          <t>Fireblocks SRE Anchor</t>
        </is>
      </c>
      <c r="J97"/>
      <c r="K97"/>
      <c r="L97"/>
      <c r="M97"/>
      <c r="N97"/>
      <c r="O97"/>
      <c r="P97"/>
      <c r="Q97"/>
      <c r="R97">
        <f>HYPERLINK("https://motorolasolutions.wd5.myworkdayjobs.com/en-US/Careers/job/Allen-TX-TX139/Software-Engineer_R62831","https://motorolasolutions.wd5.myworkdayjobs.com/en-US/Careers/job/Allen-TX-TX139/Software-Engineer_R62831")</f>
      </c>
    </row>
    <row r="98">
      <c r="A98" t="inlineStr">
        <is>
          <t>Motorola Solutions</t>
        </is>
      </c>
      <c r="B98" t="inlineStr">
        <is>
          <t>2026-04-06 13:54:02</t>
        </is>
      </c>
      <c r="C98" t="inlineStr">
        <is>
          <t>69d4014a54f00230c6d2d49a</t>
        </is>
      </c>
      <c r="D98" t="inlineStr">
        <is>
          <t>Engineer Systems</t>
        </is>
      </c>
      <c r="E98" t="inlineStr">
        <is>
          <t>1_Discovered</t>
        </is>
      </c>
      <c r="F98" t="inlineStr">
        <is>
          <t>fanout_batch</t>
        </is>
      </c>
      <c r="G98" t="inlineStr">
        <is>
          <t>reuse</t>
        </is>
      </c>
      <c r="H98" t="inlineStr">
        <is>
          <t>seed_codex_google_fullstack</t>
        </is>
      </c>
      <c r="I98" t="inlineStr">
        <is>
          <t>Google Full Stack</t>
        </is>
      </c>
      <c r="J98" t="inlineStr">
        <is>
          <t>google_product_ai_mainline</t>
        </is>
      </c>
      <c r="K98" t="inlineStr">
        <is>
          <t>mainline</t>
        </is>
      </c>
      <c r="L98"/>
      <c r="M98"/>
      <c r="N98"/>
      <c r="O98"/>
      <c r="P98"/>
      <c r="Q98"/>
      <c r="R98">
        <f>HYPERLINK("https://motorolasolutions.wd5.myworkdayjobs.com/en-US/Careers/job/West-Valley-City-UT/Engineer-Systems-AAP_R62828","https://motorolasolutions.wd5.myworkdayjobs.com/en-US/Careers/job/West-Valley-City-UT/Engineer-Systems-AAP_R62828")</f>
      </c>
    </row>
    <row r="99">
      <c r="A99" t="inlineStr">
        <is>
          <t>Integrity</t>
        </is>
      </c>
      <c r="B99" t="inlineStr">
        <is>
          <t>2026-04-06 13:53:44</t>
        </is>
      </c>
      <c r="C99" t="inlineStr">
        <is>
          <t>69d40138e63cea7a8b655990</t>
        </is>
      </c>
      <c r="D99" t="inlineStr">
        <is>
          <t>Mid-Level Full Stack Developer</t>
        </is>
      </c>
      <c r="E99" t="inlineStr">
        <is>
          <t>1_Discovered</t>
        </is>
      </c>
      <c r="F99" t="inlineStr">
        <is>
          <t>fanout_batch</t>
        </is>
      </c>
      <c r="G99" t="inlineStr">
        <is>
          <t>retarget</t>
        </is>
      </c>
      <c r="H99" t="inlineStr">
        <is>
          <t>seed_generalist_dotnet_enterprise</t>
        </is>
      </c>
      <c r="I99" t="inlineStr">
        <is>
          <t>Generalist DotNet Enterprise</t>
        </is>
      </c>
      <c r="J99"/>
      <c r="K99"/>
      <c r="L99"/>
      <c r="M99"/>
      <c r="N99">
        <v>96.7</v>
      </c>
      <c r="O99" t="inlineStr">
        <is>
          <t>pass</t>
        </is>
      </c>
      <c r="P99">
        <f>HYPERLINK("file:///Users/jingyizhang/Documents/Playground/projects/local_job_resume_pipeline/data/deliverables/resume_portfolio/by_company/integrity/2026-04-06/69d40138e63cea7a8b655990/resume.md","/Users/jingyizhang/Documents/Playground/projects/local_job_resume_pipeline/data/deliverables/resume_portfolio/by_company/integrity/2026-04-06/69d40138e63cea7a8b655990/resume.md")</f>
      </c>
      <c r="Q99"/>
      <c r="R99">
        <f>HYPERLINK("https://integritymarketing.wd1.myworkdayjobs.com/Integrity/job/Norfolk-NE/Mid-Level-Full-Stack-Developer_JR3847-1?source=LinkedIn","https://integritymarketing.wd1.myworkdayjobs.com/Integrity/job/Norfolk-NE/Mid-Level-Full-Stack-Developer_JR3847-1?source=LinkedIn")</f>
      </c>
    </row>
    <row r="100">
      <c r="A100" t="inlineStr">
        <is>
          <t>Motorola Solutions</t>
        </is>
      </c>
      <c r="B100" t="inlineStr">
        <is>
          <t>2026-04-06 13:53:42</t>
        </is>
      </c>
      <c r="C100" t="inlineStr">
        <is>
          <t>69d4013654f00230c6d2d42e</t>
        </is>
      </c>
      <c r="D100" t="inlineStr">
        <is>
          <t>Business Operations Analyst</t>
        </is>
      </c>
      <c r="E100" t="inlineStr">
        <is>
          <t>1_Discovered</t>
        </is>
      </c>
      <c r="F100" t="inlineStr">
        <is>
          <t>fanout_batch</t>
        </is>
      </c>
      <c r="G100" t="inlineStr">
        <is>
          <t>reuse</t>
        </is>
      </c>
      <c r="H100" t="inlineStr">
        <is>
          <t>seed_aws_generalist_embedded</t>
        </is>
      </c>
      <c r="I100" t="inlineStr">
        <is>
          <t>AWS Generalist Embedded</t>
        </is>
      </c>
      <c r="J100"/>
      <c r="K100"/>
      <c r="L100"/>
      <c r="M100"/>
      <c r="N100"/>
      <c r="O100"/>
      <c r="P100"/>
      <c r="Q100"/>
      <c r="R100">
        <f>HYPERLINK("https://motorolasolutions.wd5.myworkdayjobs.com/en-US/Careers/job/Chicago-IL/Business-Operations-Analyst_R62796","https://motorolasolutions.wd5.myworkdayjobs.com/en-US/Careers/job/Chicago-IL/Business-Operations-Analyst_R62796")</f>
      </c>
    </row>
    <row r="101">
      <c r="A101" t="inlineStr">
        <is>
          <t>Motorola Solutions</t>
        </is>
      </c>
      <c r="B101" t="inlineStr">
        <is>
          <t>2026-04-06 13:52:36</t>
        </is>
      </c>
      <c r="C101" t="inlineStr">
        <is>
          <t>69d400f4cdb525785fbc546c</t>
        </is>
      </c>
      <c r="D101" t="inlineStr">
        <is>
          <t>Data Scientist</t>
        </is>
      </c>
      <c r="E101" t="inlineStr">
        <is>
          <t>1_Discovered</t>
        </is>
      </c>
      <c r="F101" t="inlineStr">
        <is>
          <t>fanout_batch</t>
        </is>
      </c>
      <c r="G101" t="inlineStr">
        <is>
          <t>reuse</t>
        </is>
      </c>
      <c r="H101" t="inlineStr">
        <is>
          <t>seed_plaid_data_scientist</t>
        </is>
      </c>
      <c r="I101" t="inlineStr">
        <is>
          <t>Plaid Data Scientist</t>
        </is>
      </c>
      <c r="J101"/>
      <c r="K101"/>
      <c r="L101"/>
      <c r="M101"/>
      <c r="N101"/>
      <c r="O101"/>
      <c r="P101"/>
      <c r="Q101"/>
      <c r="R101">
        <f>HYPERLINK("https://motorolasolutions.wd5.myworkdayjobs.com/en-US/Careers/job/Richardson-TX-TX145/Data-Scientist_R62829","https://motorolasolutions.wd5.myworkdayjobs.com/en-US/Careers/job/Richardson-TX-TX145/Data-Scientist_R62829")</f>
      </c>
    </row>
    <row r="102">
      <c r="A102" t="inlineStr">
        <is>
          <t>HCLTech</t>
        </is>
      </c>
      <c r="B102" t="inlineStr">
        <is>
          <t>2026-04-06 13:51:42</t>
        </is>
      </c>
      <c r="C102" t="inlineStr">
        <is>
          <t>69c17b6479e36d3a847e3cf2</t>
        </is>
      </c>
      <c r="D102" t="inlineStr">
        <is>
          <t>Robotics Software Engineer</t>
        </is>
      </c>
      <c r="E102" t="inlineStr">
        <is>
          <t>1_Discovered</t>
        </is>
      </c>
      <c r="F102" t="inlineStr">
        <is>
          <t>fanout_batch</t>
        </is>
      </c>
      <c r="G102" t="inlineStr">
        <is>
          <t>reuse</t>
        </is>
      </c>
      <c r="H102" t="inlineStr">
        <is>
          <t>seed_microsoft_polyglot_generalist</t>
        </is>
      </c>
      <c r="I102" t="inlineStr">
        <is>
          <t>Microsoft Polyglot Generalist</t>
        </is>
      </c>
      <c r="J102"/>
      <c r="K102"/>
      <c r="L102"/>
      <c r="M102"/>
      <c r="N102"/>
      <c r="O102"/>
      <c r="P102"/>
      <c r="Q102"/>
      <c r="R102">
        <f>HYPERLINK("https://www.linkedin.com/jobs/view/4387094172","https://www.linkedin.com/jobs/view/4387094172")</f>
      </c>
    </row>
    <row r="103">
      <c r="A103" t="inlineStr">
        <is>
          <t>JPMorganChase</t>
        </is>
      </c>
      <c r="B103" t="inlineStr">
        <is>
          <t>2026-04-06 13:51:37</t>
        </is>
      </c>
      <c r="C103" t="inlineStr">
        <is>
          <t>69d400b9e63cea7a8b6556ce</t>
        </is>
      </c>
      <c r="D103" t="inlineStr">
        <is>
          <t>Data Science Senior Associate - Card Data Analytics</t>
        </is>
      </c>
      <c r="E103" t="inlineStr">
        <is>
          <t>1_Discovered</t>
        </is>
      </c>
      <c r="F103" t="inlineStr">
        <is>
          <t>fanout_batch</t>
        </is>
      </c>
      <c r="G103" t="inlineStr">
        <is>
          <t>retarget</t>
        </is>
      </c>
      <c r="H103" t="inlineStr">
        <is>
          <t>seed_jpmc_data_mlops_anchor</t>
        </is>
      </c>
      <c r="I103" t="inlineStr">
        <is>
          <t>JPMorganChase Data Platform/MLOps Anchor</t>
        </is>
      </c>
      <c r="J103" t="inlineStr">
        <is>
          <t>jpmc_data_mlops_mainline</t>
        </is>
      </c>
      <c r="K103" t="inlineStr">
        <is>
          <t>mainline</t>
        </is>
      </c>
      <c r="L103"/>
      <c r="M103"/>
      <c r="N103">
        <v>91.3</v>
      </c>
      <c r="O103" t="inlineStr">
        <is>
          <t>conditional_pass</t>
        </is>
      </c>
      <c r="P103">
        <f>HYPERLINK("file:///Users/jingyizhang/Documents/Playground/projects/local_job_resume_pipeline/data/deliverables/resume_portfolio/by_company/jpmorganchase/2026-04-06/69d400b9e63cea7a8b6556ce/resume.md","/Users/jingyizhang/Documents/Playground/projects/local_job_resume_pipeline/data/deliverables/resume_portfolio/by_company/jpmorganchase/2026-04-06/69d400b9e63cea7a8b6556ce/resume.md")</f>
      </c>
      <c r="Q103"/>
      <c r="R103">
        <f>HYPERLINK("https://jpmc.fa.oraclecloud.com/hcmUI/CandidateExperience/en/sites/CX_1001/job/210729713","https://jpmc.fa.oraclecloud.com/hcmUI/CandidateExperience/en/sites/CX_1001/job/210729713")</f>
      </c>
    </row>
    <row r="104">
      <c r="A104" t="inlineStr">
        <is>
          <t>Motorola Solutions</t>
        </is>
      </c>
      <c r="B104" t="inlineStr">
        <is>
          <t>2026-04-06 13:50:20</t>
        </is>
      </c>
      <c r="C104" t="inlineStr">
        <is>
          <t>69d4006c891d7b11cfcf636f</t>
        </is>
      </c>
      <c r="D104" t="inlineStr">
        <is>
          <t>IT Business Systems Analyst</t>
        </is>
      </c>
      <c r="E104" t="inlineStr">
        <is>
          <t>1_Discovered</t>
        </is>
      </c>
      <c r="F104" t="inlineStr">
        <is>
          <t>fanout_batch</t>
        </is>
      </c>
      <c r="G104" t="inlineStr">
        <is>
          <t>reuse</t>
        </is>
      </c>
      <c r="H104" t="inlineStr">
        <is>
          <t>seed_aws_generalist_embedded</t>
        </is>
      </c>
      <c r="I104" t="inlineStr">
        <is>
          <t>AWS Generalist Embedded</t>
        </is>
      </c>
      <c r="J104"/>
      <c r="K104"/>
      <c r="L104"/>
      <c r="M104"/>
      <c r="N104"/>
      <c r="O104"/>
      <c r="P104"/>
      <c r="Q104"/>
      <c r="R104">
        <f>HYPERLINK("https://motorolasolutions.wd5.myworkdayjobs.com/en-US/Careers/job/Chicago-IL/IT-Business-Systems-Analyst_R62797","https://motorolasolutions.wd5.myworkdayjobs.com/en-US/Careers/job/Chicago-IL/IT-Business-Systems-Analyst_R62797")</f>
      </c>
    </row>
    <row r="105">
      <c r="A105" t="inlineStr">
        <is>
          <t>Microsoft</t>
        </is>
      </c>
      <c r="B105" t="inlineStr">
        <is>
          <t>2026-04-06 13:49:52</t>
        </is>
      </c>
      <c r="C105" t="inlineStr">
        <is>
          <t>69d40050cfdc6132f9456658</t>
        </is>
      </c>
      <c r="D105" t="inlineStr">
        <is>
          <t>Senior Software Engineer - M365 Copilot App</t>
        </is>
      </c>
      <c r="E105" t="inlineStr">
        <is>
          <t>1_Discovered</t>
        </is>
      </c>
      <c r="F105" t="inlineStr">
        <is>
          <t>fanout_batch</t>
        </is>
      </c>
      <c r="G105" t="inlineStr">
        <is>
          <t>reuse</t>
        </is>
      </c>
      <c r="H105" t="inlineStr">
        <is>
          <t>seed_microsoft_polyglot_generalist</t>
        </is>
      </c>
      <c r="I105" t="inlineStr">
        <is>
          <t>Microsoft Polyglot Generalist</t>
        </is>
      </c>
      <c r="J105"/>
      <c r="K105"/>
      <c r="L105"/>
      <c r="M105"/>
      <c r="N105"/>
      <c r="O105"/>
      <c r="P105"/>
      <c r="Q105"/>
      <c r="R105">
        <f>HYPERLINK("https://apply.careers.microsoft.com/careers/job/1970393556856440/","https://apply.careers.microsoft.com/careers/job/1970393556856440/")</f>
      </c>
    </row>
    <row r="106">
      <c r="A106" t="inlineStr">
        <is>
          <t>Leidos</t>
        </is>
      </c>
      <c r="B106" t="inlineStr">
        <is>
          <t>2026-04-06 13:49:36</t>
        </is>
      </c>
      <c r="C106" t="inlineStr">
        <is>
          <t>69d40040891d7b11cfcf6251</t>
        </is>
      </c>
      <c r="D106" t="inlineStr">
        <is>
          <t>Senior Java Software Developer</t>
        </is>
      </c>
      <c r="E106" t="inlineStr">
        <is>
          <t>1_Discovered</t>
        </is>
      </c>
      <c r="F106" t="inlineStr">
        <is>
          <t>fanout_batch</t>
        </is>
      </c>
      <c r="G106" t="inlineStr">
        <is>
          <t>reuse</t>
        </is>
      </c>
      <c r="H106" t="inlineStr">
        <is>
          <t>seed_codex_amazon_sde</t>
        </is>
      </c>
      <c r="I106" t="inlineStr">
        <is>
          <t>Amazon SDE</t>
        </is>
      </c>
      <c r="J106" t="inlineStr">
        <is>
          <t>amazon_platform_mainline</t>
        </is>
      </c>
      <c r="K106" t="inlineStr">
        <is>
          <t>mainline</t>
        </is>
      </c>
      <c r="L106"/>
      <c r="M106"/>
      <c r="N106"/>
      <c r="O106"/>
      <c r="P106"/>
      <c r="Q106"/>
      <c r="R106">
        <f>HYPERLINK("https://leidos.wd5.myworkdayjobs.com/external/job/Clarksburg-WV/Senior-Java-Software-Developer_R-00180065-1","https://leidos.wd5.myworkdayjobs.com/external/job/Clarksburg-WV/Senior-Java-Software-Developer_R-00180065-1")</f>
      </c>
    </row>
    <row r="107">
      <c r="A107" t="inlineStr">
        <is>
          <t>AMH</t>
        </is>
      </c>
      <c r="B107" t="inlineStr">
        <is>
          <t>2026-04-06 13:49:30</t>
        </is>
      </c>
      <c r="C107" t="inlineStr">
        <is>
          <t>69d4003a366bb95ba55394a8</t>
        </is>
      </c>
      <c r="D107" t="inlineStr">
        <is>
          <t>Senior Enterprise Data Analyst</t>
        </is>
      </c>
      <c r="E107" t="inlineStr">
        <is>
          <t>1_Discovered</t>
        </is>
      </c>
      <c r="F107" t="inlineStr">
        <is>
          <t>fanout_batch</t>
        </is>
      </c>
      <c r="G107" t="inlineStr">
        <is>
          <t>retarget</t>
        </is>
      </c>
      <c r="H107" t="inlineStr">
        <is>
          <t>seed_qualified_health_data_engineer</t>
        </is>
      </c>
      <c r="I107" t="inlineStr">
        <is>
          <t>Qualified Health Data Engineer</t>
        </is>
      </c>
      <c r="J107"/>
      <c r="K107"/>
      <c r="L107"/>
      <c r="M107"/>
      <c r="N107">
        <v>93.4</v>
      </c>
      <c r="O107" t="inlineStr">
        <is>
          <t>pass</t>
        </is>
      </c>
      <c r="P107">
        <f>HYPERLINK("file:///Users/jingyizhang/Documents/Playground/projects/local_job_resume_pipeline/data/deliverables/resume_portfolio/by_company/amh/2026-04-06/69d4003a366bb95ba55394a8/resume.md","/Users/jingyizhang/Documents/Playground/projects/local_job_resume_pipeline/data/deliverables/resume_portfolio/by_company/amh/2026-04-06/69d4003a366bb95ba55394a8/resume.md")</f>
      </c>
      <c r="Q107"/>
      <c r="R107">
        <f>HYPERLINK("https://amh.wd12.myworkdayjobs.com/External_Careers/job/Las-Vegas-NV/Senior-Enterprise-Data-Analyst_JR101585","https://amh.wd12.myworkdayjobs.com/External_Careers/job/Las-Vegas-NV/Senior-Enterprise-Data-Analyst_JR101585")</f>
      </c>
    </row>
    <row r="108">
      <c r="A108" t="inlineStr">
        <is>
          <t>Blackstone</t>
        </is>
      </c>
      <c r="B108" t="inlineStr">
        <is>
          <t>2026-04-06 13:47:35</t>
        </is>
      </c>
      <c r="C108" t="inlineStr">
        <is>
          <t>69d3d602891d7b11cfcf48af</t>
        </is>
      </c>
      <c r="D108" t="inlineStr">
        <is>
          <t>2026 Blackstone Technology and Innovations - Software Engineer Analyst</t>
        </is>
      </c>
      <c r="E108" t="inlineStr">
        <is>
          <t>1_Discovered</t>
        </is>
      </c>
      <c r="F108" t="inlineStr">
        <is>
          <t>fanout_batch</t>
        </is>
      </c>
      <c r="G108" t="inlineStr">
        <is>
          <t>reuse</t>
        </is>
      </c>
      <c r="H108" t="inlineStr">
        <is>
          <t>seed_microsoft_polyglot_generalist</t>
        </is>
      </c>
      <c r="I108" t="inlineStr">
        <is>
          <t>Microsoft Polyglot Generalist</t>
        </is>
      </c>
      <c r="J108"/>
      <c r="K108"/>
      <c r="L108"/>
      <c r="M108"/>
      <c r="N108"/>
      <c r="O108"/>
      <c r="P108"/>
      <c r="Q108"/>
      <c r="R108">
        <f>HYPERLINK("https://blackstone.wd1.myworkdayjobs.com/bx_external_site/job/Miami/XMLNAME-2026-Blackstone-Technology-and-Innovations---Software-Engineer-Analyst_38715","https://blackstone.wd1.myworkdayjobs.com/bx_external_site/job/Miami/XMLNAME-2026-Blackstone-Technology-and-Innovations---Software-Engineer-Analyst_38715")</f>
      </c>
    </row>
    <row r="109">
      <c r="A109" t="inlineStr">
        <is>
          <t>Klaviyo</t>
        </is>
      </c>
      <c r="B109" t="inlineStr">
        <is>
          <t>2026-04-06 13:35:22</t>
        </is>
      </c>
      <c r="C109" t="inlineStr">
        <is>
          <t>69d3fceae63cea7a8b655631</t>
        </is>
      </c>
      <c r="D109" t="inlineStr">
        <is>
          <t>Software Engineer II - Identity &amp; Access Management</t>
        </is>
      </c>
      <c r="E109" t="inlineStr">
        <is>
          <t>1_Discovered</t>
        </is>
      </c>
      <c r="F109" t="inlineStr">
        <is>
          <t>fanout_batch</t>
        </is>
      </c>
      <c r="G109" t="inlineStr">
        <is>
          <t>retarget</t>
        </is>
      </c>
      <c r="H109" t="inlineStr">
        <is>
          <t>seed_fireblocks_sre_anchor</t>
        </is>
      </c>
      <c r="I109" t="inlineStr">
        <is>
          <t>Fireblocks SRE Anchor</t>
        </is>
      </c>
      <c r="J109"/>
      <c r="K109"/>
      <c r="L109"/>
      <c r="M109"/>
      <c r="N109">
        <v>94.1</v>
      </c>
      <c r="O109" t="inlineStr">
        <is>
          <t>pass</t>
        </is>
      </c>
      <c r="P109">
        <f>HYPERLINK("file:///Users/jingyizhang/Documents/Playground/projects/local_job_resume_pipeline/data/deliverables/resume_portfolio/by_company/klaviyo/2026-04-06/69d3fceae63cea7a8b655631/resume.md","/Users/jingyizhang/Documents/Playground/projects/local_job_resume_pipeline/data/deliverables/resume_portfolio/by_company/klaviyo/2026-04-06/69d3fceae63cea7a8b655631/resume.md")</f>
      </c>
      <c r="Q109"/>
      <c r="R109">
        <f>HYPERLINK("https://boards.greenhouse.io/embed/job_app?token=7660502003&amp;utm_source=jobright","https://boards.greenhouse.io/embed/job_app?token=7660502003&amp;utm_source=jobright")</f>
      </c>
    </row>
    <row r="110">
      <c r="A110" t="inlineStr">
        <is>
          <t>DoorDash</t>
        </is>
      </c>
      <c r="B110" t="inlineStr">
        <is>
          <t>2026-04-06 13:34:40</t>
        </is>
      </c>
      <c r="C110" t="inlineStr">
        <is>
          <t>69d3fcc0891d7b11cfcf61af</t>
        </is>
      </c>
      <c r="D110" t="inlineStr">
        <is>
          <t>Software Engineer, Infrastructure - Autonomy &amp; Robotics</t>
        </is>
      </c>
      <c r="E110" t="inlineStr">
        <is>
          <t>1_Discovered</t>
        </is>
      </c>
      <c r="F110" t="inlineStr">
        <is>
          <t>fanout_batch</t>
        </is>
      </c>
      <c r="G110" t="inlineStr">
        <is>
          <t>retarget</t>
        </is>
      </c>
      <c r="H110" t="inlineStr">
        <is>
          <t>seed_google_cloud_infra_anchor_candidate</t>
        </is>
      </c>
      <c r="I110" t="inlineStr">
        <is>
          <t>Google Cloud Infra Anchor</t>
        </is>
      </c>
      <c r="J110" t="inlineStr">
        <is>
          <t>google_cloud_infra_mainline</t>
        </is>
      </c>
      <c r="K110" t="inlineStr">
        <is>
          <t>mainline</t>
        </is>
      </c>
      <c r="L110"/>
      <c r="M110"/>
      <c r="N110">
        <v>95.0</v>
      </c>
      <c r="O110" t="inlineStr">
        <is>
          <t>pass</t>
        </is>
      </c>
      <c r="P110">
        <f>HYPERLINK("file:///Users/jingyizhang/Documents/Playground/projects/local_job_resume_pipeline/data/deliverables/resume_portfolio/by_company/doordash/2026-04-06/69d3fcc0891d7b11cfcf61af/resume.md","/Users/jingyizhang/Documents/Playground/projects/local_job_resume_pipeline/data/deliverables/resume_portfolio/by_company/doordash/2026-04-06/69d3fcc0891d7b11cfcf61af/resume.md")</f>
      </c>
      <c r="Q110"/>
      <c r="R110">
        <f>HYPERLINK("https://boards.greenhouse.io/embed/job_app?token=6367350&amp;utm_source=jobright","https://boards.greenhouse.io/embed/job_app?token=6367350&amp;utm_source=jobright")</f>
      </c>
    </row>
    <row r="111">
      <c r="A111" t="inlineStr">
        <is>
          <t>Hummingbird</t>
        </is>
      </c>
      <c r="B111" t="inlineStr">
        <is>
          <t>2026-04-06 13:34:37</t>
        </is>
      </c>
      <c r="C111" t="inlineStr">
        <is>
          <t>69d3fcbd54f00230c6d2ce9e</t>
        </is>
      </c>
      <c r="D111" t="inlineStr">
        <is>
          <t>Senior Software Engineer, Infrastructure</t>
        </is>
      </c>
      <c r="E111" t="inlineStr">
        <is>
          <t>1_Discovered</t>
        </is>
      </c>
      <c r="F111" t="inlineStr">
        <is>
          <t>fanout_batch</t>
        </is>
      </c>
      <c r="G111" t="inlineStr">
        <is>
          <t>retarget</t>
        </is>
      </c>
      <c r="H111" t="inlineStr">
        <is>
          <t>seed_trimedx_platform_multicloud</t>
        </is>
      </c>
      <c r="I111" t="inlineStr">
        <is>
          <t>TRIMEDX Platform Multicloud</t>
        </is>
      </c>
      <c r="J111"/>
      <c r="K111"/>
      <c r="L111"/>
      <c r="M111"/>
      <c r="N111">
        <v>96.1</v>
      </c>
      <c r="O111" t="inlineStr">
        <is>
          <t>pass</t>
        </is>
      </c>
      <c r="P111">
        <f>HYPERLINK("file:///Users/jingyizhang/Documents/Playground/projects/local_job_resume_pipeline/data/deliverables/resume_portfolio/by_company/hummingbird/2026-04-06/69d3fcbd54f00230c6d2ce9e/resume.md","/Users/jingyizhang/Documents/Playground/projects/local_job_resume_pipeline/data/deliverables/resume_portfolio/by_company/hummingbird/2026-04-06/69d3fcbd54f00230c6d2ce9e/resume.md")</f>
      </c>
      <c r="Q111"/>
      <c r="R111">
        <f>HYPERLINK("https://boards.greenhouse.io/embed/job_app?token=5849881004&amp;utm_source=jobright","https://boards.greenhouse.io/embed/job_app?token=5849881004&amp;utm_source=jobright")</f>
      </c>
    </row>
    <row r="112">
      <c r="A112" t="inlineStr">
        <is>
          <t>Brex</t>
        </is>
      </c>
      <c r="B112" t="inlineStr">
        <is>
          <t>2026-04-06 13:34:32</t>
        </is>
      </c>
      <c r="C112" t="inlineStr">
        <is>
          <t>692f54d34c474121999dddfe</t>
        </is>
      </c>
      <c r="D112" t="inlineStr">
        <is>
          <t>Software Engineer II, Product</t>
        </is>
      </c>
      <c r="E112" t="inlineStr">
        <is>
          <t>1_Discovered</t>
        </is>
      </c>
      <c r="F112" t="inlineStr">
        <is>
          <t>fanout_batch</t>
        </is>
      </c>
      <c r="G112" t="inlineStr">
        <is>
          <t>reuse</t>
        </is>
      </c>
      <c r="H112" t="inlineStr">
        <is>
          <t>seed_microsoft_polyglot_generalist</t>
        </is>
      </c>
      <c r="I112" t="inlineStr">
        <is>
          <t>Microsoft Polyglot Generalist</t>
        </is>
      </c>
      <c r="J112"/>
      <c r="K112"/>
      <c r="L112"/>
      <c r="M112"/>
      <c r="N112"/>
      <c r="O112"/>
      <c r="P112"/>
      <c r="Q112"/>
      <c r="R112">
        <f>HYPERLINK("https://boards.greenhouse.io/embed/job_app?token=8318331002&amp;utm_source=jobright","https://boards.greenhouse.io/embed/job_app?token=8318331002&amp;utm_source=jobright")</f>
      </c>
    </row>
    <row r="113">
      <c r="A113" t="inlineStr">
        <is>
          <t>Palantir Technologies</t>
        </is>
      </c>
      <c r="B113" t="inlineStr">
        <is>
          <t>2026-04-06 13:25:38</t>
        </is>
      </c>
      <c r="C113" t="inlineStr">
        <is>
          <t>69c52d5284510008f480048c</t>
        </is>
      </c>
      <c r="D113" t="inlineStr">
        <is>
          <t>Product Infrastructure Security Engineer</t>
        </is>
      </c>
      <c r="E113" t="inlineStr">
        <is>
          <t>1_Discovered</t>
        </is>
      </c>
      <c r="F113" t="inlineStr">
        <is>
          <t>fanout_batch</t>
        </is>
      </c>
      <c r="G113" t="inlineStr">
        <is>
          <t>retarget</t>
        </is>
      </c>
      <c r="H113" t="inlineStr">
        <is>
          <t>seed_fireblocks_sre_anchor</t>
        </is>
      </c>
      <c r="I113" t="inlineStr">
        <is>
          <t>Fireblocks SRE Anchor</t>
        </is>
      </c>
      <c r="J113"/>
      <c r="K113"/>
      <c r="L113"/>
      <c r="M113"/>
      <c r="N113">
        <v>95.4</v>
      </c>
      <c r="O113" t="inlineStr">
        <is>
          <t>pass</t>
        </is>
      </c>
      <c r="P113">
        <f>HYPERLINK("file:///Users/jingyizhang/Documents/Playground/projects/local_job_resume_pipeline/data/deliverables/resume_portfolio/by_company/palantir-technologies/2026-04-06/69c52d5284510008f480048c/resume.md","/Users/jingyizhang/Documents/Playground/projects/local_job_resume_pipeline/data/deliverables/resume_portfolio/by_company/palantir-technologies/2026-04-06/69c52d5284510008f480048c/resume.md")</f>
      </c>
      <c r="Q113"/>
      <c r="R113">
        <f>HYPERLINK("https://jobs.lever.co/palantir/47bf61f0-853c-43f9-ad30-873784da9c59/apply?lever-source=jobright","https://jobs.lever.co/palantir/47bf61f0-853c-43f9-ad30-873784da9c59/apply?lever-source=jobright")</f>
      </c>
    </row>
    <row r="114">
      <c r="A114" t="inlineStr">
        <is>
          <t>Cotiviti</t>
        </is>
      </c>
      <c r="B114" t="inlineStr">
        <is>
          <t>2026-04-06 13:07:51</t>
        </is>
      </c>
      <c r="C114" t="inlineStr">
        <is>
          <t>69d3f67754f00230c6d2cb7e</t>
        </is>
      </c>
      <c r="D114" t="inlineStr">
        <is>
          <t>Data Engineer - AI (Spark, Databricks and Healthcare)</t>
        </is>
      </c>
      <c r="E114" t="inlineStr">
        <is>
          <t>1_Discovered</t>
        </is>
      </c>
      <c r="F114" t="inlineStr">
        <is>
          <t>fanout_batch</t>
        </is>
      </c>
      <c r="G114" t="inlineStr">
        <is>
          <t>reuse</t>
        </is>
      </c>
      <c r="H114" t="inlineStr">
        <is>
          <t>seed_qualified_health_data_engineer</t>
        </is>
      </c>
      <c r="I114" t="inlineStr">
        <is>
          <t>Qualified Health Data Engineer</t>
        </is>
      </c>
      <c r="J114"/>
      <c r="K114"/>
      <c r="L114"/>
      <c r="M114"/>
      <c r="N114"/>
      <c r="O114"/>
      <c r="P114"/>
      <c r="Q114"/>
      <c r="R114">
        <f>HYPERLINK("https://careers-cotiviti.icims.com/jobs/18797/data-engineer---ai-(spark,-databricks-and-healthcare)/job?in_iframe=1&amp;mode=apply&amp;iis=LinkedIn","https://careers-cotiviti.icims.com/jobs/18797/data-engineer---ai-(spark,-databricks-and-healthcare)/job?in_iframe=1&amp;mode=apply&amp;iis=LinkedIn")</f>
      </c>
    </row>
    <row r="115">
      <c r="A115" t="inlineStr">
        <is>
          <t>Amazon</t>
        </is>
      </c>
      <c r="B115" t="inlineStr">
        <is>
          <t>2026-04-06 12:57:50</t>
        </is>
      </c>
      <c r="C115" t="inlineStr">
        <is>
          <t>69d3f41ecdb525785fbc4c63</t>
        </is>
      </c>
      <c r="D115" t="inlineStr">
        <is>
          <t>Software Development Engineer, OneMHS</t>
        </is>
      </c>
      <c r="E115" t="inlineStr">
        <is>
          <t>1_Discovered</t>
        </is>
      </c>
      <c r="F115" t="inlineStr">
        <is>
          <t>fanout_batch</t>
        </is>
      </c>
      <c r="G115" t="inlineStr">
        <is>
          <t>reuse</t>
        </is>
      </c>
      <c r="H115" t="inlineStr">
        <is>
          <t>seed_codex_amazon_sde</t>
        </is>
      </c>
      <c r="I115" t="inlineStr">
        <is>
          <t>Amazon SDE</t>
        </is>
      </c>
      <c r="J115" t="inlineStr">
        <is>
          <t>amazon_platform_mainline</t>
        </is>
      </c>
      <c r="K115" t="inlineStr">
        <is>
          <t>mainline</t>
        </is>
      </c>
      <c r="L115"/>
      <c r="M115"/>
      <c r="N115"/>
      <c r="O115"/>
      <c r="P115"/>
      <c r="Q115"/>
      <c r="R115">
        <f>HYPERLINK("https://www.amazon.jobs/jobs/10383923/software-development-engineer-onemhs?cmpid=SPLICX0248M&amp;utm_source=linkedin.com&amp;utm_campaign=cxro&amp;utm_medium=social_media&amp;utm_content=job_posting&amp;ss=paid","https://www.amazon.jobs/jobs/10383923/software-development-engineer-onemhs?cmpid=SPLICX0248M&amp;utm_source=linkedin.com&amp;utm_campaign=cxro&amp;utm_medium=social_media&amp;utm_content=job_posting&amp;ss=paid")</f>
      </c>
    </row>
    <row r="116">
      <c r="A116" t="inlineStr">
        <is>
          <t>Amazon</t>
        </is>
      </c>
      <c r="B116" t="inlineStr">
        <is>
          <t>2026-04-06 12:56:52</t>
        </is>
      </c>
      <c r="C116" t="inlineStr">
        <is>
          <t>69d3f3e4366bb95ba5539077</t>
        </is>
      </c>
      <c r="D116" t="inlineStr">
        <is>
          <t>Software Development Engineer, Devices Software &amp; Services</t>
        </is>
      </c>
      <c r="E116" t="inlineStr">
        <is>
          <t>1_Discovered</t>
        </is>
      </c>
      <c r="F116" t="inlineStr">
        <is>
          <t>fanout_batch</t>
        </is>
      </c>
      <c r="G116" t="inlineStr">
        <is>
          <t>reuse</t>
        </is>
      </c>
      <c r="H116" t="inlineStr">
        <is>
          <t>seed_codex_google_fullstack</t>
        </is>
      </c>
      <c r="I116" t="inlineStr">
        <is>
          <t>Google Full Stack</t>
        </is>
      </c>
      <c r="J116" t="inlineStr">
        <is>
          <t>google_product_ai_mainline</t>
        </is>
      </c>
      <c r="K116" t="inlineStr">
        <is>
          <t>mainline</t>
        </is>
      </c>
      <c r="L116"/>
      <c r="M116"/>
      <c r="N116"/>
      <c r="O116"/>
      <c r="P116"/>
      <c r="Q116"/>
      <c r="R116">
        <f>HYPERLINK("https://www.amazon.jobs/jobs/10384024/software-development-engineer-devices-software--services?cmpid=SPLICX0248M&amp;utm_source=linkedin.com&amp;utm_campaign=cxro&amp;utm_medium=social_media&amp;utm_content=job_posting&amp;ss=paid","https://www.amazon.jobs/jobs/10384024/software-development-engineer-devices-software--services?cmpid=SPLICX0248M&amp;utm_source=linkedin.com&amp;utm_campaign=cxro&amp;utm_medium=social_media&amp;utm_content=job_posting&amp;ss=paid")</f>
      </c>
    </row>
    <row r="117">
      <c r="A117" t="inlineStr">
        <is>
          <t>FIS</t>
        </is>
      </c>
      <c r="B117" t="inlineStr">
        <is>
          <t>2026-04-06 12:54:39</t>
        </is>
      </c>
      <c r="C117" t="inlineStr">
        <is>
          <t>69d3f35f891d7b11cfcf5c8d</t>
        </is>
      </c>
      <c r="D117" t="inlineStr">
        <is>
          <t>Engineer Senior, Software</t>
        </is>
      </c>
      <c r="E117" t="inlineStr">
        <is>
          <t>1_Discovered</t>
        </is>
      </c>
      <c r="F117" t="inlineStr">
        <is>
          <t>fanout_batch</t>
        </is>
      </c>
      <c r="G117" t="inlineStr">
        <is>
          <t>retarget</t>
        </is>
      </c>
      <c r="H117" t="inlineStr">
        <is>
          <t>seed_magnite_sdet</t>
        </is>
      </c>
      <c r="I117" t="inlineStr">
        <is>
          <t>Magnite SDET</t>
        </is>
      </c>
      <c r="J117"/>
      <c r="K117"/>
      <c r="L117"/>
      <c r="M117"/>
      <c r="N117">
        <v>91.6</v>
      </c>
      <c r="O117" t="inlineStr">
        <is>
          <t>conditional_pass</t>
        </is>
      </c>
      <c r="P117">
        <f>HYPERLINK("file:///Users/jingyizhang/Documents/Playground/projects/local_job_resume_pipeline/data/deliverables/resume_portfolio/by_company/fis/2026-04-06/69d3f35f891d7b11cfcf5c8d/resume.md","/Users/jingyizhang/Documents/Playground/projects/local_job_resume_pipeline/data/deliverables/resume_portfolio/by_company/fis/2026-04-06/69d3f35f891d7b11cfcf5c8d/resume.md")</f>
      </c>
      <c r="Q117"/>
      <c r="R117">
        <f>HYPERLINK("https://fis.wd5.myworkdayjobs.com/SearchJobs/job/US-NC-CHA-Virtual/Engineer-Senior--Software_JR0305619-1","https://fis.wd5.myworkdayjobs.com/SearchJobs/job/US-NC-CHA-Virtual/Engineer-Senior--Software_JR0305619-1")</f>
      </c>
    </row>
    <row r="118">
      <c r="A118" t="inlineStr">
        <is>
          <t>JPMorganChase</t>
        </is>
      </c>
      <c r="B118" t="inlineStr">
        <is>
          <t>2026-04-06 12:54:25</t>
        </is>
      </c>
      <c r="C118" t="inlineStr">
        <is>
          <t>69d3f351cfdc6132f94560b7</t>
        </is>
      </c>
      <c r="D118" t="inlineStr">
        <is>
          <t>Data Scientist, Center for Economic Intelligence - Sr. Associate</t>
        </is>
      </c>
      <c r="E118" t="inlineStr">
        <is>
          <t>1_Discovered</t>
        </is>
      </c>
      <c r="F118" t="inlineStr">
        <is>
          <t>fanout_batch</t>
        </is>
      </c>
      <c r="G118" t="inlineStr">
        <is>
          <t>reuse</t>
        </is>
      </c>
      <c r="H118" t="inlineStr">
        <is>
          <t>seed_jpmc_data_mlops_anchor</t>
        </is>
      </c>
      <c r="I118" t="inlineStr">
        <is>
          <t>JPMorganChase Data Platform/MLOps Anchor</t>
        </is>
      </c>
      <c r="J118" t="inlineStr">
        <is>
          <t>jpmc_data_mlops_mainline</t>
        </is>
      </c>
      <c r="K118" t="inlineStr">
        <is>
          <t>mainline</t>
        </is>
      </c>
      <c r="L118"/>
      <c r="M118"/>
      <c r="N118"/>
      <c r="O118"/>
      <c r="P118"/>
      <c r="Q118"/>
      <c r="R118">
        <f>HYPERLINK("https://jpmc.fa.oraclecloud.com/hcmUI/CandidateExperience/en/sites/CX_1001/job/210732307","https://jpmc.fa.oraclecloud.com/hcmUI/CandidateExperience/en/sites/CX_1001/job/210732307")</f>
      </c>
    </row>
    <row r="119">
      <c r="A119" t="inlineStr">
        <is>
          <t>Fermilab</t>
        </is>
      </c>
      <c r="B119" t="inlineStr">
        <is>
          <t>2026-04-06 12:54:11</t>
        </is>
      </c>
      <c r="C119" t="inlineStr">
        <is>
          <t>69d3f343cdb525785fbc4b48</t>
        </is>
      </c>
      <c r="D119" t="inlineStr">
        <is>
          <t>On Call / Seasonal Software Developer</t>
        </is>
      </c>
      <c r="E119" t="inlineStr">
        <is>
          <t>1_Discovered</t>
        </is>
      </c>
      <c r="F119" t="inlineStr">
        <is>
          <t>fanout_batch</t>
        </is>
      </c>
      <c r="G119" t="inlineStr">
        <is>
          <t>reuse</t>
        </is>
      </c>
      <c r="H119" t="inlineStr">
        <is>
          <t>seed_aws_generalist_embedded</t>
        </is>
      </c>
      <c r="I119" t="inlineStr">
        <is>
          <t>AWS Generalist Embedded</t>
        </is>
      </c>
      <c r="J119"/>
      <c r="K119"/>
      <c r="L119"/>
      <c r="M119"/>
      <c r="N119"/>
      <c r="O119"/>
      <c r="P119"/>
      <c r="Q119"/>
      <c r="R119">
        <f>HYPERLINK("https://fermilab.wd5.myworkdayjobs.com/FermilabCareers/job/Batavia/On-Call---Seasonal-Software-Developer_R_009412-1","https://fermilab.wd5.myworkdayjobs.com/FermilabCareers/job/Batavia/On-Call---Seasonal-Software-Developer_R_009412-1")</f>
      </c>
    </row>
    <row r="120">
      <c r="A120" t="inlineStr">
        <is>
          <t>Nationwide</t>
        </is>
      </c>
      <c r="B120" t="inlineStr">
        <is>
          <t>2026-04-06 12:53:49</t>
        </is>
      </c>
      <c r="C120" t="inlineStr">
        <is>
          <t>69d3f32de63cea7a8b6550eb</t>
        </is>
      </c>
      <c r="D120" t="inlineStr">
        <is>
          <t>Specialist, Technology Engineer (Cloud Security Engineer)</t>
        </is>
      </c>
      <c r="E120" t="inlineStr">
        <is>
          <t>1_Discovered</t>
        </is>
      </c>
      <c r="F120" t="inlineStr">
        <is>
          <t>fanout_batch</t>
        </is>
      </c>
      <c r="G120" t="inlineStr">
        <is>
          <t>retarget</t>
        </is>
      </c>
      <c r="H120" t="inlineStr">
        <is>
          <t>seed_fireblocks_sre_anchor</t>
        </is>
      </c>
      <c r="I120" t="inlineStr">
        <is>
          <t>Fireblocks SRE Anchor</t>
        </is>
      </c>
      <c r="J120"/>
      <c r="K120"/>
      <c r="L120"/>
      <c r="M120"/>
      <c r="N120">
        <v>94.6</v>
      </c>
      <c r="O120" t="inlineStr">
        <is>
          <t>pass</t>
        </is>
      </c>
      <c r="P120">
        <f>HYPERLINK("file:///Users/jingyizhang/Documents/Playground/projects/local_job_resume_pipeline/data/deliverables/resume_portfolio/by_company/nationwide/2026-04-06/69d3f32de63cea7a8b6550eb/resume.md","/Users/jingyizhang/Documents/Playground/projects/local_job_resume_pipeline/data/deliverables/resume_portfolio/by_company/nationwide/2026-04-06/69d3f32de63cea7a8b6550eb/resume.md")</f>
      </c>
      <c r="Q120"/>
      <c r="R120">
        <f>HYPERLINK("https://nationwide.wd1.myworkdayjobs.com/nationwide_career/job/Ohio---Columbus-Three-Nationwide-Plaza/Specialist--Technology-Engineer--Cloud-Security-Engineer-_097266","https://nationwide.wd1.myworkdayjobs.com/nationwide_career/job/Ohio---Columbus-Three-Nationwide-Plaza/Specialist--Technology-Engineer--Cloud-Security-Engineer-_097266")</f>
      </c>
    </row>
    <row r="121">
      <c r="A121" t="inlineStr">
        <is>
          <t>Comcast</t>
        </is>
      </c>
      <c r="B121" t="inlineStr">
        <is>
          <t>2026-04-06 12:53:48</t>
        </is>
      </c>
      <c r="C121" t="inlineStr">
        <is>
          <t>69d3f32c366bb95ba5538f3e</t>
        </is>
      </c>
      <c r="D121" t="inlineStr">
        <is>
          <t>Site Reliability Engineer 2</t>
        </is>
      </c>
      <c r="E121" t="inlineStr">
        <is>
          <t>1_Discovered</t>
        </is>
      </c>
      <c r="F121" t="inlineStr">
        <is>
          <t>fanout_batch</t>
        </is>
      </c>
      <c r="G121" t="inlineStr">
        <is>
          <t>retarget</t>
        </is>
      </c>
      <c r="H121" t="inlineStr">
        <is>
          <t>seed_fireblocks_sre_anchor</t>
        </is>
      </c>
      <c r="I121" t="inlineStr">
        <is>
          <t>Fireblocks SRE Anchor</t>
        </is>
      </c>
      <c r="J121"/>
      <c r="K121"/>
      <c r="L121"/>
      <c r="M121"/>
      <c r="N121">
        <v>95.6</v>
      </c>
      <c r="O121" t="inlineStr">
        <is>
          <t>pass</t>
        </is>
      </c>
      <c r="P121">
        <f>HYPERLINK("file:///Users/jingyizhang/Documents/Playground/projects/local_job_resume_pipeline/data/deliverables/resume_portfolio/by_company/comcast/2026-04-06/69d3f32c366bb95ba5538f3e/resume.md","/Users/jingyizhang/Documents/Playground/projects/local_job_resume_pipeline/data/deliverables/resume_portfolio/by_company/comcast/2026-04-06/69d3f32c366bb95ba5538f3e/resume.md")</f>
      </c>
      <c r="Q121"/>
      <c r="R121">
        <f>HYPERLINK("https://comcast.wd5.myworkdayjobs.com/Comcast_Careers/job/IL---Chicago-33-W-Monroe-St-Suite-1900/Site-Reliability-Engineer-2---Chicago--IL-OR-Reston--VA---Onsite_R420790?source=jobright_at&amp;utm_source=jobright&amp;utm_medium=referral&amp;utm_campaign=all","https://comcast.wd5.myworkdayjobs.com/Comcast_Careers/job/IL---Chicago-33-W-Monroe-St-Suite-1900/Site-Reliability-Engineer-2---Chicago--IL-OR-Reston--VA---Onsite_R420790?source=jobright_at&amp;utm_source=jobright&amp;utm_medium=referral&amp;utm_campaign=all")</f>
      </c>
    </row>
    <row r="122">
      <c r="A122" t="inlineStr">
        <is>
          <t>CVS Health</t>
        </is>
      </c>
      <c r="B122" t="inlineStr">
        <is>
          <t>2026-04-06 12:53:38</t>
        </is>
      </c>
      <c r="C122" t="inlineStr">
        <is>
          <t>69d3f322e63cea7a8b6550d5</t>
        </is>
      </c>
      <c r="D122" t="inlineStr">
        <is>
          <t>Software Engineer</t>
        </is>
      </c>
      <c r="E122" t="inlineStr">
        <is>
          <t>1_Discovered</t>
        </is>
      </c>
      <c r="F122" t="inlineStr">
        <is>
          <t>fanout_batch</t>
        </is>
      </c>
      <c r="G122" t="inlineStr">
        <is>
          <t>retarget</t>
        </is>
      </c>
      <c r="H122" t="inlineStr">
        <is>
          <t>seed_jpmc_data_mlops_anchor</t>
        </is>
      </c>
      <c r="I122" t="inlineStr">
        <is>
          <t>JPMorganChase Data Platform/MLOps Anchor</t>
        </is>
      </c>
      <c r="J122" t="inlineStr">
        <is>
          <t>jpmc_data_mlops_mainline</t>
        </is>
      </c>
      <c r="K122" t="inlineStr">
        <is>
          <t>mainline</t>
        </is>
      </c>
      <c r="L122"/>
      <c r="M122"/>
      <c r="N122">
        <v>95.3</v>
      </c>
      <c r="O122" t="inlineStr">
        <is>
          <t>pass</t>
        </is>
      </c>
      <c r="P122">
        <f>HYPERLINK("file:///Users/jingyizhang/Documents/Playground/projects/local_job_resume_pipeline/data/deliverables/resume_portfolio/by_company/cvs-health/2026-04-06/69d3f322e63cea7a8b6550d5/resume.md","/Users/jingyizhang/Documents/Playground/projects/local_job_resume_pipeline/data/deliverables/resume_portfolio/by_company/cvs-health/2026-04-06/69d3f322e63cea7a8b6550d5/resume.md")</f>
      </c>
      <c r="Q122"/>
      <c r="R122">
        <f>HYPERLINK("https://cvshealth.wd1.myworkdayjobs.com/CVS_Health_Careers/job/NY---New-York/Software-Engineer_R0812482","https://cvshealth.wd1.myworkdayjobs.com/CVS_Health_Careers/job/NY---New-York/Software-Engineer_R0812482")</f>
      </c>
    </row>
    <row r="123">
      <c r="A123" t="inlineStr">
        <is>
          <t>Cisco</t>
        </is>
      </c>
      <c r="B123" t="inlineStr">
        <is>
          <t>2026-04-06 12:53:31</t>
        </is>
      </c>
      <c r="C123" t="inlineStr">
        <is>
          <t>69d3f31b366bb95ba5538ede</t>
        </is>
      </c>
      <c r="D123" t="inlineStr">
        <is>
          <t>Software QA Engineer II (Full Time) – United States</t>
        </is>
      </c>
      <c r="E123" t="inlineStr">
        <is>
          <t>1_Discovered</t>
        </is>
      </c>
      <c r="F123" t="inlineStr">
        <is>
          <t>fanout_batch</t>
        </is>
      </c>
      <c r="G123" t="inlineStr">
        <is>
          <t>reuse</t>
        </is>
      </c>
      <c r="H123" t="inlineStr">
        <is>
          <t>seed_magnite_sdet</t>
        </is>
      </c>
      <c r="I123" t="inlineStr">
        <is>
          <t>Magnite SDET</t>
        </is>
      </c>
      <c r="J123"/>
      <c r="K123"/>
      <c r="L123"/>
      <c r="M123"/>
      <c r="N123"/>
      <c r="O123"/>
      <c r="P123"/>
      <c r="Q123"/>
      <c r="R123">
        <f>HYPERLINK("https://cisco.wd5.myworkdayjobs.com/Cisco_Careers/job/RTP-North-Carolina-US/Software-QA-Engineer-II--Full-Time----United-States_2002838","https://cisco.wd5.myworkdayjobs.com/Cisco_Careers/job/RTP-North-Carolina-US/Software-QA-Engineer-II--Full-Time----United-States_2002838")</f>
      </c>
    </row>
    <row r="124">
      <c r="A124" t="inlineStr">
        <is>
          <t>Progressive Insurance</t>
        </is>
      </c>
      <c r="B124" t="inlineStr">
        <is>
          <t>2026-04-06 12:34:21</t>
        </is>
      </c>
      <c r="C124" t="inlineStr">
        <is>
          <t>69d3ee9dcfdc6132f9455f81</t>
        </is>
      </c>
      <c r="D124" t="inlineStr">
        <is>
          <t>Data Analyst Lead</t>
        </is>
      </c>
      <c r="E124" t="inlineStr">
        <is>
          <t>1_Discovered</t>
        </is>
      </c>
      <c r="F124" t="inlineStr">
        <is>
          <t>fanout_batch</t>
        </is>
      </c>
      <c r="G124" t="inlineStr">
        <is>
          <t>reuse</t>
        </is>
      </c>
      <c r="H124" t="inlineStr">
        <is>
          <t>seed_plaid_data_scientist</t>
        </is>
      </c>
      <c r="I124" t="inlineStr">
        <is>
          <t>Plaid Data Scientist</t>
        </is>
      </c>
      <c r="J124"/>
      <c r="K124"/>
      <c r="L124"/>
      <c r="M124"/>
      <c r="N124"/>
      <c r="O124"/>
      <c r="P124"/>
      <c r="Q124"/>
      <c r="R124">
        <f>HYPERLINK("https://careers.progressive.com/en/jobs/17577841-data-analyst-lead?tm_job=259324&amp;tm_event=view&amp;tm_company=90779&amp;bid=56","https://careers.progressive.com/en/jobs/17577841-data-analyst-lead?tm_job=259324&amp;tm_event=view&amp;tm_company=90779&amp;bid=56")</f>
      </c>
    </row>
    <row r="125">
      <c r="A125" t="inlineStr">
        <is>
          <t>NextGen | GTA: A Kelly Telecom Company</t>
        </is>
      </c>
      <c r="B125" t="inlineStr">
        <is>
          <t>2026-04-06 12:29:09</t>
        </is>
      </c>
      <c r="C125" t="inlineStr">
        <is>
          <t>69d40d3254f00230c6d2da9e</t>
        </is>
      </c>
      <c r="D125" t="inlineStr">
        <is>
          <t>Data Analyst II</t>
        </is>
      </c>
      <c r="E125" t="inlineStr">
        <is>
          <t>1_Discovered</t>
        </is>
      </c>
      <c r="F125" t="inlineStr">
        <is>
          <t>fanout_batch</t>
        </is>
      </c>
      <c r="G125" t="inlineStr">
        <is>
          <t>reuse</t>
        </is>
      </c>
      <c r="H125" t="inlineStr">
        <is>
          <t>seed_plaid_data_scientist</t>
        </is>
      </c>
      <c r="I125" t="inlineStr">
        <is>
          <t>Plaid Data Scientist</t>
        </is>
      </c>
      <c r="J125"/>
      <c r="K125"/>
      <c r="L125"/>
      <c r="M125"/>
      <c r="N125"/>
      <c r="O125"/>
      <c r="P125"/>
      <c r="Q125"/>
      <c r="R125">
        <f>HYPERLINK("https://www.linkedin.com/jobs/view/4394482848","https://www.linkedin.com/jobs/view/4394482848")</f>
      </c>
    </row>
    <row r="126">
      <c r="A126" t="inlineStr">
        <is>
          <t>Tessera Labs</t>
        </is>
      </c>
      <c r="B126" t="inlineStr">
        <is>
          <t>2026-04-06 12:26:30</t>
        </is>
      </c>
      <c r="C126" t="inlineStr">
        <is>
          <t>69d3ecc6891d7b11cfcf5afa</t>
        </is>
      </c>
      <c r="D126" t="inlineStr">
        <is>
          <t>Forward-Deployed Engineer (CoE - Profisee)</t>
        </is>
      </c>
      <c r="E126" t="inlineStr">
        <is>
          <t>1_Discovered</t>
        </is>
      </c>
      <c r="F126" t="inlineStr">
        <is>
          <t>fanout_batch</t>
        </is>
      </c>
      <c r="G126" t="inlineStr">
        <is>
          <t>reuse</t>
        </is>
      </c>
      <c r="H126" t="inlineStr">
        <is>
          <t>seed_qualified_health_data_engineer</t>
        </is>
      </c>
      <c r="I126" t="inlineStr">
        <is>
          <t>Qualified Health Data Engineer</t>
        </is>
      </c>
      <c r="J126"/>
      <c r="K126"/>
      <c r="L126"/>
      <c r="M126"/>
      <c r="N126"/>
      <c r="O126"/>
      <c r="P126"/>
      <c r="Q126"/>
      <c r="R126">
        <f>HYPERLINK("https://jobs.ashbyhq.com/tessera-labs/26be0646-2b25-4623-9783-37cb97c38216/application?utm_source=gVAve8bk7l&amp;src=LinkedIn","https://jobs.ashbyhq.com/tessera-labs/26be0646-2b25-4623-9783-37cb97c38216/application?utm_source=gVAve8bk7l&amp;src=LinkedIn")</f>
      </c>
    </row>
    <row r="127">
      <c r="A127" t="inlineStr">
        <is>
          <t>Lorven Technologies Inc.</t>
        </is>
      </c>
      <c r="B127" t="inlineStr">
        <is>
          <t>2026-04-06 12:20:37</t>
        </is>
      </c>
      <c r="C127" t="inlineStr">
        <is>
          <t>69d3eb65891d7b11cfcf5997</t>
        </is>
      </c>
      <c r="D127" t="inlineStr">
        <is>
          <t>Power BI Developer (Fulltime)</t>
        </is>
      </c>
      <c r="E127" t="inlineStr">
        <is>
          <t>1_Discovered</t>
        </is>
      </c>
      <c r="F127" t="inlineStr">
        <is>
          <t>fanout_batch</t>
        </is>
      </c>
      <c r="G127" t="inlineStr">
        <is>
          <t>reuse</t>
        </is>
      </c>
      <c r="H127" t="inlineStr">
        <is>
          <t>seed_plaid_data_scientist</t>
        </is>
      </c>
      <c r="I127" t="inlineStr">
        <is>
          <t>Plaid Data Scientist</t>
        </is>
      </c>
      <c r="J127"/>
      <c r="K127"/>
      <c r="L127"/>
      <c r="M127"/>
      <c r="N127"/>
      <c r="O127"/>
      <c r="P127"/>
      <c r="Q127"/>
      <c r="R127">
        <f>HYPERLINK("https://www.linkedin.com/jobs/view/4394496519","https://www.linkedin.com/jobs/view/4394496519")</f>
      </c>
    </row>
    <row r="128">
      <c r="A128" t="inlineStr">
        <is>
          <t>Red Hat</t>
        </is>
      </c>
      <c r="B128" t="inlineStr">
        <is>
          <t>2026-04-06 12:20:27</t>
        </is>
      </c>
      <c r="C128" t="inlineStr">
        <is>
          <t>69d3eb5be63cea7a8b654ccb</t>
        </is>
      </c>
      <c r="D128" t="inlineStr">
        <is>
          <t>Senior Software Engineer - AI Experiment Tracking</t>
        </is>
      </c>
      <c r="E128" t="inlineStr">
        <is>
          <t>1_Discovered</t>
        </is>
      </c>
      <c r="F128" t="inlineStr">
        <is>
          <t>fanout_batch</t>
        </is>
      </c>
      <c r="G128" t="inlineStr">
        <is>
          <t>retarget</t>
        </is>
      </c>
      <c r="H128" t="inlineStr">
        <is>
          <t>seed_jpmc_data_mlops_anchor</t>
        </is>
      </c>
      <c r="I128" t="inlineStr">
        <is>
          <t>JPMorganChase Data Platform/MLOps Anchor</t>
        </is>
      </c>
      <c r="J128" t="inlineStr">
        <is>
          <t>jpmc_data_mlops_mainline</t>
        </is>
      </c>
      <c r="K128" t="inlineStr">
        <is>
          <t>mainline</t>
        </is>
      </c>
      <c r="L128"/>
      <c r="M128"/>
      <c r="N128">
        <v>92.6</v>
      </c>
      <c r="O128" t="inlineStr">
        <is>
          <t>conditional_pass</t>
        </is>
      </c>
      <c r="P128">
        <f>HYPERLINK("file:///Users/jingyizhang/Documents/Playground/projects/local_job_resume_pipeline/data/deliverables/resume_portfolio/by_company/red-hat/2026-04-06/69d3eb5be63cea7a8b654ccb/resume.md","/Users/jingyizhang/Documents/Playground/projects/local_job_resume_pipeline/data/deliverables/resume_portfolio/by_company/red-hat/2026-04-06/69d3eb5be63cea7a8b654ccb/resume.md")</f>
      </c>
      <c r="Q128"/>
      <c r="R128">
        <f>HYPERLINK("https://redhat.wd5.myworkdayjobs.com/jobs/job/Raleigh/RHOAI-Senior-Customer-Experience-Engineer_R-050522","https://redhat.wd5.myworkdayjobs.com/jobs/job/Raleigh/RHOAI-Senior-Customer-Experience-Engineer_R-050522")</f>
      </c>
    </row>
    <row r="129">
      <c r="A129" t="inlineStr">
        <is>
          <t>Capital One</t>
        </is>
      </c>
      <c r="B129" t="inlineStr">
        <is>
          <t>2026-04-06 12:20:27</t>
        </is>
      </c>
      <c r="C129" t="inlineStr">
        <is>
          <t>69d3eb5be63cea7a8b654ccd</t>
        </is>
      </c>
      <c r="D129" t="inlineStr">
        <is>
          <t>Manager, Data Analysis - Card Services</t>
        </is>
      </c>
      <c r="E129" t="inlineStr">
        <is>
          <t>1_Discovered</t>
        </is>
      </c>
      <c r="F129" t="inlineStr">
        <is>
          <t>fanout_batch</t>
        </is>
      </c>
      <c r="G129" t="inlineStr">
        <is>
          <t>retarget</t>
        </is>
      </c>
      <c r="H129" t="inlineStr">
        <is>
          <t>seed_qualified_health_data_engineer</t>
        </is>
      </c>
      <c r="I129" t="inlineStr">
        <is>
          <t>Qualified Health Data Engineer</t>
        </is>
      </c>
      <c r="J129"/>
      <c r="K129"/>
      <c r="L129"/>
      <c r="M129"/>
      <c r="N129">
        <v>94.7</v>
      </c>
      <c r="O129" t="inlineStr">
        <is>
          <t>pass</t>
        </is>
      </c>
      <c r="P129">
        <f>HYPERLINK("file:///Users/jingyizhang/Documents/Playground/projects/local_job_resume_pipeline/data/deliverables/resume_portfolio/by_company/capital-one/2026-04-06/69d3eb5be63cea7a8b654ccd/resume.md","/Users/jingyizhang/Documents/Playground/projects/local_job_resume_pipeline/data/deliverables/resume_portfolio/by_company/capital-one/2026-04-06/69d3eb5be63cea7a8b654ccd/resume.md")</f>
      </c>
      <c r="Q129"/>
      <c r="R129">
        <f>HYPERLINK("https://capitalone.wd12.myworkdayjobs.com/Capital_One/job/McLean-VA/Manager--Data-Analysis---Card-Services_R231966-2","https://capitalone.wd12.myworkdayjobs.com/Capital_One/job/McLean-VA/Manager--Data-Analysis---Card-Services_R231966-2")</f>
      </c>
    </row>
    <row r="130">
      <c r="A130" t="inlineStr">
        <is>
          <t>Oracle</t>
        </is>
      </c>
      <c r="B130" t="inlineStr">
        <is>
          <t>2026-04-06 12:07:41</t>
        </is>
      </c>
      <c r="C130" t="inlineStr">
        <is>
          <t>69d3e85dcfdc6132f9455b38</t>
        </is>
      </c>
      <c r="D130" t="inlineStr">
        <is>
          <t>Software Developer 3</t>
        </is>
      </c>
      <c r="E130" t="inlineStr">
        <is>
          <t>1_Discovered</t>
        </is>
      </c>
      <c r="F130" t="inlineStr">
        <is>
          <t>fanout_batch</t>
        </is>
      </c>
      <c r="G130" t="inlineStr">
        <is>
          <t>retarget</t>
        </is>
      </c>
      <c r="H130" t="inlineStr">
        <is>
          <t>seed_codex_google_fullstack</t>
        </is>
      </c>
      <c r="I130" t="inlineStr">
        <is>
          <t>Google Full Stack</t>
        </is>
      </c>
      <c r="J130" t="inlineStr">
        <is>
          <t>google_product_ai_mainline</t>
        </is>
      </c>
      <c r="K130" t="inlineStr">
        <is>
          <t>mainline</t>
        </is>
      </c>
      <c r="L130"/>
      <c r="M130"/>
      <c r="N130">
        <v>96.5</v>
      </c>
      <c r="O130" t="inlineStr">
        <is>
          <t>pass</t>
        </is>
      </c>
      <c r="P130">
        <f>HYPERLINK("file:///Users/jingyizhang/Documents/Playground/projects/local_job_resume_pipeline/data/deliverables/resume_portfolio/by_company/oracle/2026-04-06/69d3e85dcfdc6132f9455b38/resume.md","/Users/jingyizhang/Documents/Playground/projects/local_job_resume_pipeline/data/deliverables/resume_portfolio/by_company/oracle/2026-04-06/69d3e85dcfdc6132f9455b38/resume.md")</f>
      </c>
      <c r="Q130"/>
      <c r="R130">
        <f>HYPERLINK("https://eeho.fa.us2.oraclecloud.com/hcmUI/CandidateExperience/en/job/330700/?utm_medium=jobboard&amp;utm_source=LinkedIn","https://eeho.fa.us2.oraclecloud.com/hcmUI/CandidateExperience/en/job/330700/?utm_medium=jobboard&amp;utm_source=LinkedIn")</f>
      </c>
    </row>
    <row r="131">
      <c r="A131" t="inlineStr">
        <is>
          <t>Hewlett Packard Enterprise</t>
        </is>
      </c>
      <c r="B131" t="inlineStr">
        <is>
          <t>2026-04-06 12:07:13</t>
        </is>
      </c>
      <c r="C131" t="inlineStr">
        <is>
          <t>69d3e841cdb525785fbc4666</t>
        </is>
      </c>
      <c r="D131" t="inlineStr">
        <is>
          <t>System Software Engineer</t>
        </is>
      </c>
      <c r="E131" t="inlineStr">
        <is>
          <t>1_Discovered</t>
        </is>
      </c>
      <c r="F131" t="inlineStr">
        <is>
          <t>fanout_batch</t>
        </is>
      </c>
      <c r="G131" t="inlineStr">
        <is>
          <t>retarget</t>
        </is>
      </c>
      <c r="H131" t="inlineStr">
        <is>
          <t>seed_paypal_java_backend</t>
        </is>
      </c>
      <c r="I131" t="inlineStr">
        <is>
          <t>PayPal Java Backend</t>
        </is>
      </c>
      <c r="J131"/>
      <c r="K131"/>
      <c r="L131"/>
      <c r="M131"/>
      <c r="N131">
        <v>94.3</v>
      </c>
      <c r="O131" t="inlineStr">
        <is>
          <t>pass</t>
        </is>
      </c>
      <c r="P131">
        <f>HYPERLINK("file:///Users/jingyizhang/Documents/Playground/projects/local_job_resume_pipeline/data/deliverables/resume_portfolio/by_company/hewlett-packard-enterprise/2026-04-06/69d3e841cdb525785fbc4666/resume.md","/Users/jingyizhang/Documents/Playground/projects/local_job_resume_pipeline/data/deliverables/resume_portfolio/by_company/hewlett-packard-enterprise/2026-04-06/69d3e841cdb525785fbc4666/resume.md")</f>
      </c>
      <c r="Q131"/>
      <c r="R131">
        <f>HYPERLINK("https://careers.hpe.com/us/en/job/1203998/System-Software-Engineer?utm_source=linkedin","https://careers.hpe.com/us/en/job/1203998/System-Software-Engineer?utm_source=linkedin")</f>
      </c>
    </row>
    <row r="132">
      <c r="A132" t="inlineStr">
        <is>
          <t>Astor &amp; Sanders</t>
        </is>
      </c>
      <c r="B132" t="inlineStr">
        <is>
          <t>2026-04-06 12:07:11</t>
        </is>
      </c>
      <c r="C132" t="inlineStr">
        <is>
          <t>69d3e83f891d7b11cfcf5777</t>
        </is>
      </c>
      <c r="D132" t="inlineStr">
        <is>
          <t>Drupal Developer</t>
        </is>
      </c>
      <c r="E132" t="inlineStr">
        <is>
          <t>1_Discovered</t>
        </is>
      </c>
      <c r="F132" t="inlineStr">
        <is>
          <t>fanout_batch</t>
        </is>
      </c>
      <c r="G132" t="inlineStr">
        <is>
          <t>retarget</t>
        </is>
      </c>
      <c r="H132" t="inlineStr">
        <is>
          <t>seed_generalist_dotnet_enterprise</t>
        </is>
      </c>
      <c r="I132" t="inlineStr">
        <is>
          <t>Generalist DotNet Enterprise</t>
        </is>
      </c>
      <c r="J132"/>
      <c r="K132"/>
      <c r="L132"/>
      <c r="M132"/>
      <c r="N132">
        <v>95.6</v>
      </c>
      <c r="O132" t="inlineStr">
        <is>
          <t>pass</t>
        </is>
      </c>
      <c r="P132">
        <f>HYPERLINK("file:///Users/jingyizhang/Documents/Playground/projects/local_job_resume_pipeline/data/deliverables/resume_portfolio/by_company/astor-sanders/2026-04-06/69d3e83f891d7b11cfcf5777/resume.md","/Users/jingyizhang/Documents/Playground/projects/local_job_resume_pipeline/data/deliverables/resume_portfolio/by_company/astor-sanders/2026-04-06/69d3e83f891d7b11cfcf5777/resume.md")</f>
      </c>
      <c r="Q132"/>
      <c r="R132">
        <f>HYPERLINK("https://apply.workable.com/j/F03FE73287","https://apply.workable.com/j/F03FE73287")</f>
      </c>
    </row>
    <row r="133">
      <c r="A133" t="inlineStr">
        <is>
          <t>CVS Health</t>
        </is>
      </c>
      <c r="B133" t="inlineStr">
        <is>
          <t>2026-04-06 11:56:01</t>
        </is>
      </c>
      <c r="C133" t="inlineStr">
        <is>
          <t>69d3e5a1891d7b11cfcf5574</t>
        </is>
      </c>
      <c r="D133" t="inlineStr">
        <is>
          <t>Senior Data Engineer</t>
        </is>
      </c>
      <c r="E133" t="inlineStr">
        <is>
          <t>1_Discovered</t>
        </is>
      </c>
      <c r="F133" t="inlineStr">
        <is>
          <t>fanout_batch</t>
        </is>
      </c>
      <c r="G133" t="inlineStr">
        <is>
          <t>retarget</t>
        </is>
      </c>
      <c r="H133" t="inlineStr">
        <is>
          <t>seed_qualified_health_data_engineer</t>
        </is>
      </c>
      <c r="I133" t="inlineStr">
        <is>
          <t>Qualified Health Data Engineer</t>
        </is>
      </c>
      <c r="J133"/>
      <c r="K133"/>
      <c r="L133"/>
      <c r="M133"/>
      <c r="N133">
        <v>90.0</v>
      </c>
      <c r="O133" t="inlineStr">
        <is>
          <t>conditional_pass</t>
        </is>
      </c>
      <c r="P133">
        <f>HYPERLINK("file:///Users/jingyizhang/Documents/Playground/projects/local_job_resume_pipeline/data/deliverables/resume_portfolio/by_company/cvs-health/2026-04-06/69d3e5a1891d7b11cfcf5574/resume.md","/Users/jingyizhang/Documents/Playground/projects/local_job_resume_pipeline/data/deliverables/resume_portfolio/by_company/cvs-health/2026-04-06/69d3e5a1891d7b11cfcf5574/resume.md")</f>
      </c>
      <c r="Q133"/>
      <c r="R133">
        <f>HYPERLINK("https://jobs.cvshealth.com/us/en/job/CVSCHLUSR0878234EXTERNALENUS/Senior-Data-Engineer?utm_source=Linkedin&amp;utm_medium=phenom-feeds","https://jobs.cvshealth.com/us/en/job/CVSCHLUSR0878234EXTERNALENUS/Senior-Data-Engineer?utm_source=Linkedin&amp;utm_medium=phenom-feeds")</f>
      </c>
    </row>
    <row r="134">
      <c r="A134" t="inlineStr">
        <is>
          <t>Trend Health Partners</t>
        </is>
      </c>
      <c r="B134" t="inlineStr">
        <is>
          <t>2026-04-06 11:36:08</t>
        </is>
      </c>
      <c r="C134" t="inlineStr">
        <is>
          <t>69d3e0f8cdb525785fbc3d5a</t>
        </is>
      </c>
      <c r="D134" t="inlineStr">
        <is>
          <t>Data Engineer I (US Remote)</t>
        </is>
      </c>
      <c r="E134" t="inlineStr">
        <is>
          <t>1_Discovered</t>
        </is>
      </c>
      <c r="F134" t="inlineStr">
        <is>
          <t>fanout_batch</t>
        </is>
      </c>
      <c r="G134" t="inlineStr">
        <is>
          <t>reuse</t>
        </is>
      </c>
      <c r="H134" t="inlineStr">
        <is>
          <t>seed_jpmc_data_mlops_anchor</t>
        </is>
      </c>
      <c r="I134" t="inlineStr">
        <is>
          <t>JPMorganChase Data Platform/MLOps Anchor</t>
        </is>
      </c>
      <c r="J134" t="inlineStr">
        <is>
          <t>jpmc_data_mlops_mainline</t>
        </is>
      </c>
      <c r="K134" t="inlineStr">
        <is>
          <t>mainline</t>
        </is>
      </c>
      <c r="L134"/>
      <c r="M134"/>
      <c r="N134"/>
      <c r="O134"/>
      <c r="P134"/>
      <c r="Q134"/>
      <c r="R134">
        <f>HYPERLINK("https://jobs.lever.co/Trend-Health-Partners/f9008caa-3531-4651-9aee-8747b45da034/apply?utm_source=jobright","https://jobs.lever.co/Trend-Health-Partners/f9008caa-3531-4651-9aee-8747b45da034/apply?utm_source=jobright")</f>
      </c>
    </row>
    <row r="135">
      <c r="A135" t="inlineStr">
        <is>
          <t>NiCE</t>
        </is>
      </c>
      <c r="B135" t="inlineStr">
        <is>
          <t>2026-04-06 11:36:07</t>
        </is>
      </c>
      <c r="C135" t="inlineStr">
        <is>
          <t>69d3e0f7891d7b11cfcf4dda</t>
        </is>
      </c>
      <c r="D135" t="inlineStr">
        <is>
          <t>Associate Software Engineer</t>
        </is>
      </c>
      <c r="E135" t="inlineStr">
        <is>
          <t>1_Discovered</t>
        </is>
      </c>
      <c r="F135" t="inlineStr">
        <is>
          <t>fanout_batch</t>
        </is>
      </c>
      <c r="G135" t="inlineStr">
        <is>
          <t>reuse</t>
        </is>
      </c>
      <c r="H135" t="inlineStr">
        <is>
          <t>seed_paypal_java_backend</t>
        </is>
      </c>
      <c r="I135" t="inlineStr">
        <is>
          <t>PayPal Java Backend</t>
        </is>
      </c>
      <c r="J135"/>
      <c r="K135"/>
      <c r="L135"/>
      <c r="M135"/>
      <c r="N135"/>
      <c r="O135"/>
      <c r="P135"/>
      <c r="Q135"/>
      <c r="R135">
        <f>HYPERLINK("https://boards.greenhouse.io/embed/job_app?token=4832724101&amp;utm_source=jobright","https://boards.greenhouse.io/embed/job_app?token=4832724101&amp;utm_source=jobright")</f>
      </c>
    </row>
    <row r="136">
      <c r="A136" t="inlineStr">
        <is>
          <t>HiddenLayer</t>
        </is>
      </c>
      <c r="B136" t="inlineStr">
        <is>
          <t>2026-04-06 11:33:27</t>
        </is>
      </c>
      <c r="C136" t="inlineStr">
        <is>
          <t>69d3e057366bb95ba5538162</t>
        </is>
      </c>
      <c r="D136" t="inlineStr">
        <is>
          <t>Software Engineer (Quality)</t>
        </is>
      </c>
      <c r="E136" t="inlineStr">
        <is>
          <t>1_Discovered</t>
        </is>
      </c>
      <c r="F136" t="inlineStr">
        <is>
          <t>fanout_batch</t>
        </is>
      </c>
      <c r="G136" t="inlineStr">
        <is>
          <t>retarget</t>
        </is>
      </c>
      <c r="H136" t="inlineStr">
        <is>
          <t>seed_magnite_sdet</t>
        </is>
      </c>
      <c r="I136" t="inlineStr">
        <is>
          <t>Magnite SDET</t>
        </is>
      </c>
      <c r="J136"/>
      <c r="K136"/>
      <c r="L136"/>
      <c r="M136"/>
      <c r="N136">
        <v>96.4</v>
      </c>
      <c r="O136" t="inlineStr">
        <is>
          <t>pass</t>
        </is>
      </c>
      <c r="P136">
        <f>HYPERLINK("file:///Users/jingyizhang/Documents/Playground/projects/local_job_resume_pipeline/data/deliverables/resume_portfolio/by_company/hiddenlayer/2026-04-06/69d3e057366bb95ba5538162/resume.md","/Users/jingyizhang/Documents/Playground/projects/local_job_resume_pipeline/data/deliverables/resume_portfolio/by_company/hiddenlayer/2026-04-06/69d3e057366bb95ba5538162/resume.md")</f>
      </c>
      <c r="Q136"/>
      <c r="R136">
        <f>HYPERLINK("https://boards.greenhouse.io/embed/job_app?token=5100059007&amp;utm_source=jobright","https://boards.greenhouse.io/embed/job_app?token=5100059007&amp;utm_source=jobright")</f>
      </c>
    </row>
    <row r="137">
      <c r="A137" t="inlineStr">
        <is>
          <t>HiddenLayer</t>
        </is>
      </c>
      <c r="B137" t="inlineStr">
        <is>
          <t>2026-04-06 11:33:14</t>
        </is>
      </c>
      <c r="C137" t="inlineStr">
        <is>
          <t>69d3e04a366bb95ba553814e</t>
        </is>
      </c>
      <c r="D137" t="inlineStr">
        <is>
          <t>Full Stack Cloud Engineer (AI Security Platform)</t>
        </is>
      </c>
      <c r="E137" t="inlineStr">
        <is>
          <t>1_Discovered</t>
        </is>
      </c>
      <c r="F137" t="inlineStr">
        <is>
          <t>fanout_batch</t>
        </is>
      </c>
      <c r="G137" t="inlineStr">
        <is>
          <t>retarget</t>
        </is>
      </c>
      <c r="H137" t="inlineStr">
        <is>
          <t>seed_trimedx_platform_multicloud</t>
        </is>
      </c>
      <c r="I137" t="inlineStr">
        <is>
          <t>TRIMEDX Platform Multicloud</t>
        </is>
      </c>
      <c r="J137"/>
      <c r="K137"/>
      <c r="L137"/>
      <c r="M137"/>
      <c r="N137">
        <v>97.2</v>
      </c>
      <c r="O137" t="inlineStr">
        <is>
          <t>pass</t>
        </is>
      </c>
      <c r="P137">
        <f>HYPERLINK("file:///Users/jingyizhang/Documents/Playground/projects/local_job_resume_pipeline/data/deliverables/resume_portfolio/by_company/hiddenlayer/2026-04-06/69d3e04a366bb95ba553814e/resume.md","/Users/jingyizhang/Documents/Playground/projects/local_job_resume_pipeline/data/deliverables/resume_portfolio/by_company/hiddenlayer/2026-04-06/69d3e04a366bb95ba553814e/resume.md")</f>
      </c>
      <c r="Q137"/>
      <c r="R137">
        <f>HYPERLINK("https://boards.greenhouse.io/embed/job_app?token=5100067007&amp;utm_source=jobright","https://boards.greenhouse.io/embed/job_app?token=5100067007&amp;utm_source=jobright")</f>
      </c>
    </row>
    <row r="138">
      <c r="A138" t="inlineStr">
        <is>
          <t>Deepgram</t>
        </is>
      </c>
      <c r="B138" t="inlineStr">
        <is>
          <t>2026-04-06 11:33:02</t>
        </is>
      </c>
      <c r="C138" t="inlineStr">
        <is>
          <t>69d3e03ecdb525785fbc3d05</t>
        </is>
      </c>
      <c r="D138" t="inlineStr">
        <is>
          <t>ML Ops Infrastructure Engineer</t>
        </is>
      </c>
      <c r="E138" t="inlineStr">
        <is>
          <t>1_Discovered</t>
        </is>
      </c>
      <c r="F138" t="inlineStr">
        <is>
          <t>fanout_batch</t>
        </is>
      </c>
      <c r="G138" t="inlineStr">
        <is>
          <t>retarget</t>
        </is>
      </c>
      <c r="H138" t="inlineStr">
        <is>
          <t>seed_trimedx_platform_multicloud</t>
        </is>
      </c>
      <c r="I138" t="inlineStr">
        <is>
          <t>TRIMEDX Platform Multicloud</t>
        </is>
      </c>
      <c r="J138"/>
      <c r="K138"/>
      <c r="L138"/>
      <c r="M138"/>
      <c r="N138">
        <v>91.1</v>
      </c>
      <c r="O138" t="inlineStr">
        <is>
          <t>conditional_pass</t>
        </is>
      </c>
      <c r="P138">
        <f>HYPERLINK("file:///Users/jingyizhang/Documents/Playground/projects/local_job_resume_pipeline/data/deliverables/resume_portfolio/by_company/deepgram/2026-04-06/69d3e03ecdb525785fbc3d05/resume.md","/Users/jingyizhang/Documents/Playground/projects/local_job_resume_pipeline/data/deliverables/resume_portfolio/by_company/deepgram/2026-04-06/69d3e03ecdb525785fbc3d05/resume.md")</f>
      </c>
      <c r="Q138"/>
      <c r="R138">
        <f>HYPERLINK("https://jobs.ashbyhq.com/Deepgram/7ced4c1f-4126-44fe-9cf1-da427a9e4e3e?source=rLVNdemx1O","https://jobs.ashbyhq.com/Deepgram/7ced4c1f-4126-44fe-9cf1-da427a9e4e3e?source=rLVNdemx1O")</f>
      </c>
    </row>
    <row r="139">
      <c r="A139" t="inlineStr">
        <is>
          <t>SysTechCorp Inc</t>
        </is>
      </c>
      <c r="B139" t="inlineStr">
        <is>
          <t>2026-04-06 11:32:21</t>
        </is>
      </c>
      <c r="C139" t="inlineStr">
        <is>
          <t>69d3e015e63cea7a8b654267</t>
        </is>
      </c>
      <c r="D139" t="inlineStr">
        <is>
          <t>Analytics Developer Power BI</t>
        </is>
      </c>
      <c r="E139" t="inlineStr">
        <is>
          <t>1_Discovered</t>
        </is>
      </c>
      <c r="F139" t="inlineStr">
        <is>
          <t>fanout_batch</t>
        </is>
      </c>
      <c r="G139" t="inlineStr">
        <is>
          <t>reuse</t>
        </is>
      </c>
      <c r="H139" t="inlineStr">
        <is>
          <t>seed_plaid_data_scientist</t>
        </is>
      </c>
      <c r="I139" t="inlineStr">
        <is>
          <t>Plaid Data Scientist</t>
        </is>
      </c>
      <c r="J139"/>
      <c r="K139"/>
      <c r="L139"/>
      <c r="M139"/>
      <c r="N139"/>
      <c r="O139"/>
      <c r="P139"/>
      <c r="Q139"/>
      <c r="R139">
        <f>HYPERLINK("https://www.linkedin.com/jobs/view/4398023431","https://www.linkedin.com/jobs/view/4398023431")</f>
      </c>
    </row>
    <row r="140">
      <c r="A140" t="inlineStr">
        <is>
          <t>Selective Insurance</t>
        </is>
      </c>
      <c r="B140" t="inlineStr">
        <is>
          <t>2026-04-06 11:32:18</t>
        </is>
      </c>
      <c r="C140" t="inlineStr">
        <is>
          <t>69d3e012e63cea7a8b654262</t>
        </is>
      </c>
      <c r="D140" t="inlineStr">
        <is>
          <t>Information Management - College Co-Op</t>
        </is>
      </c>
      <c r="E140" t="inlineStr">
        <is>
          <t>1_Discovered</t>
        </is>
      </c>
      <c r="F140" t="inlineStr">
        <is>
          <t>fanout_batch</t>
        </is>
      </c>
      <c r="G140" t="inlineStr">
        <is>
          <t>retarget</t>
        </is>
      </c>
      <c r="H140" t="inlineStr">
        <is>
          <t>seed_aws_generalist_embedded</t>
        </is>
      </c>
      <c r="I140" t="inlineStr">
        <is>
          <t>AWS Generalist Embedded</t>
        </is>
      </c>
      <c r="J140"/>
      <c r="K140"/>
      <c r="L140"/>
      <c r="M140"/>
      <c r="N140">
        <v>95.8</v>
      </c>
      <c r="O140" t="inlineStr">
        <is>
          <t>pass</t>
        </is>
      </c>
      <c r="P140">
        <f>HYPERLINK("file:///Users/jingyizhang/Documents/Playground/projects/local_job_resume_pipeline/data/deliverables/resume_portfolio/by_company/selective-insurance/2026-04-06/69d3e012e63cea7a8b654262/resume.md","/Users/jingyizhang/Documents/Playground/projects/local_job_resume_pipeline/data/deliverables/resume_portfolio/by_company/selective-insurance/2026-04-06/69d3e012e63cea7a8b654262/resume.md")</f>
      </c>
      <c r="Q140"/>
      <c r="R140">
        <f>HYPERLINK("https://jobs.selective.com/jobs/5394?lang=en-us&amp;iis=Job+Board&amp;iisn=LinkedIn","https://jobs.selective.com/jobs/5394?lang=en-us&amp;iis=Job+Board&amp;iisn=LinkedIn")</f>
      </c>
    </row>
    <row r="141">
      <c r="A141" t="inlineStr">
        <is>
          <t>Genentech</t>
        </is>
      </c>
      <c r="B141" t="inlineStr">
        <is>
          <t>2026-04-06 11:20:41</t>
        </is>
      </c>
      <c r="C141" t="inlineStr">
        <is>
          <t>69d3dd59366bb95ba5538099</t>
        </is>
      </c>
      <c r="D141" t="inlineStr">
        <is>
          <t>Senior Machine Learning Engineer, AI Agents for Science, AI for Drug Discovery</t>
        </is>
      </c>
      <c r="E141" t="inlineStr">
        <is>
          <t>1_Discovered</t>
        </is>
      </c>
      <c r="F141" t="inlineStr">
        <is>
          <t>fanout_batch</t>
        </is>
      </c>
      <c r="G141" t="inlineStr">
        <is>
          <t>retarget</t>
        </is>
      </c>
      <c r="H141" t="inlineStr">
        <is>
          <t>seed_bytedance_ml_grad</t>
        </is>
      </c>
      <c r="I141" t="inlineStr">
        <is>
          <t>ByteDance ML Grad</t>
        </is>
      </c>
      <c r="J141"/>
      <c r="K141"/>
      <c r="L141"/>
      <c r="M141"/>
      <c r="N141">
        <v>93.5</v>
      </c>
      <c r="O141" t="inlineStr">
        <is>
          <t>pass</t>
        </is>
      </c>
      <c r="P141">
        <f>HYPERLINK("file:///Users/jingyizhang/Documents/Playground/projects/local_job_resume_pipeline/data/deliverables/resume_portfolio/by_company/genentech/2026-04-06/69d3dd59366bb95ba5538099/resume.md","/Users/jingyizhang/Documents/Playground/projects/local_job_resume_pipeline/data/deliverables/resume_portfolio/by_company/genentech/2026-04-06/69d3dd59366bb95ba5538099/resume.md")</f>
      </c>
      <c r="Q141"/>
      <c r="R141">
        <f>HYPERLINK("https://careers.gene.com/us/en/job/GENEUS202602103624EXTERNALENUS/Senior-Machine-Learning-Engineer-AI-Agents-for-Science-AI-for-Drug-Discovery?utm_source=linkedin&amp;utm_medium=phenom-feeds","https://careers.gene.com/us/en/job/GENEUS202602103624EXTERNALENUS/Senior-Machine-Learning-Engineer-AI-Agents-for-Science-AI-for-Drug-Discovery?utm_source=linkedin&amp;utm_medium=phenom-feeds")</f>
      </c>
    </row>
    <row r="142">
      <c r="A142" t="inlineStr">
        <is>
          <t>Emonics LLC</t>
        </is>
      </c>
      <c r="B142" t="inlineStr">
        <is>
          <t>2026-04-06 11:19:26</t>
        </is>
      </c>
      <c r="C142" t="inlineStr">
        <is>
          <t>69d3dd0ee63cea7a8b6541a0</t>
        </is>
      </c>
      <c r="D142" t="inlineStr">
        <is>
          <t>Data Analyst (Entry-Level / Fresher) – Non-C2C</t>
        </is>
      </c>
      <c r="E142" t="inlineStr">
        <is>
          <t>1_Discovered</t>
        </is>
      </c>
      <c r="F142" t="inlineStr">
        <is>
          <t>fanout_batch</t>
        </is>
      </c>
      <c r="G142" t="inlineStr">
        <is>
          <t>reuse</t>
        </is>
      </c>
      <c r="H142" t="inlineStr">
        <is>
          <t>seed_plaid_data_scientist</t>
        </is>
      </c>
      <c r="I142" t="inlineStr">
        <is>
          <t>Plaid Data Scientist</t>
        </is>
      </c>
      <c r="J142"/>
      <c r="K142"/>
      <c r="L142"/>
      <c r="M142"/>
      <c r="N142"/>
      <c r="O142"/>
      <c r="P142"/>
      <c r="Q142"/>
      <c r="R142">
        <f>HYPERLINK("https://www.linkedin.com/jobs/view/4394477737","https://www.linkedin.com/jobs/view/4394477737")</f>
      </c>
    </row>
    <row r="143">
      <c r="A143" t="inlineStr">
        <is>
          <t>Genentech</t>
        </is>
      </c>
      <c r="B143" t="inlineStr">
        <is>
          <t>2026-04-06 11:09:35</t>
        </is>
      </c>
      <c r="C143" t="inlineStr">
        <is>
          <t>69d3dabfcfdc6132f9455044</t>
        </is>
      </c>
      <c r="D143" t="inlineStr">
        <is>
          <t>Machine Learning Scientist, Scientific Reasoning Models, AI for Drug Discovery</t>
        </is>
      </c>
      <c r="E143" t="inlineStr">
        <is>
          <t>1_Discovered</t>
        </is>
      </c>
      <c r="F143" t="inlineStr">
        <is>
          <t>fanout_batch</t>
        </is>
      </c>
      <c r="G143" t="inlineStr">
        <is>
          <t>reuse</t>
        </is>
      </c>
      <c r="H143" t="inlineStr">
        <is>
          <t>seed_linkedin_mle_foundation</t>
        </is>
      </c>
      <c r="I143" t="inlineStr">
        <is>
          <t>LinkedIn MLE Foundation</t>
        </is>
      </c>
      <c r="J143"/>
      <c r="K143"/>
      <c r="L143"/>
      <c r="M143"/>
      <c r="N143"/>
      <c r="O143"/>
      <c r="P143"/>
      <c r="Q143"/>
      <c r="R143">
        <f>HYPERLINK("https://careers.gene.com/us/en/job/GENEUS202602103501EXTERNALENUS/Machine-Learning-Scientist-Scientific-Reasoning-Models-AI-for-Drug-Discovery?utm_source=linkedin&amp;utm_medium=phenom-feeds","https://careers.gene.com/us/en/job/GENEUS202602103501EXTERNALENUS/Machine-Learning-Scientist-Scientific-Reasoning-Models-AI-for-Drug-Discovery?utm_source=linkedin&amp;utm_medium=phenom-feeds")</f>
      </c>
    </row>
    <row r="144">
      <c r="A144" t="inlineStr">
        <is>
          <t>Genentech</t>
        </is>
      </c>
      <c r="B144" t="inlineStr">
        <is>
          <t>2026-04-06 11:09:20</t>
        </is>
      </c>
      <c r="C144" t="inlineStr">
        <is>
          <t>69d3dab0366bb95ba5537f43</t>
        </is>
      </c>
      <c r="D144" t="inlineStr">
        <is>
          <t>Machine Learning Engineer/Senior Machine Learning Engineer - Infra</t>
        </is>
      </c>
      <c r="E144" t="inlineStr">
        <is>
          <t>1_Discovered</t>
        </is>
      </c>
      <c r="F144" t="inlineStr">
        <is>
          <t>fanout_batch</t>
        </is>
      </c>
      <c r="G144" t="inlineStr">
        <is>
          <t>retarget</t>
        </is>
      </c>
      <c r="H144" t="inlineStr">
        <is>
          <t>seed_amazon_agi_ml_anchor</t>
        </is>
      </c>
      <c r="I144" t="inlineStr">
        <is>
          <t>Amazon AGI/LLM Anchor</t>
        </is>
      </c>
      <c r="J144" t="inlineStr">
        <is>
          <t>amazon_ai_ads_mainline</t>
        </is>
      </c>
      <c r="K144" t="inlineStr">
        <is>
          <t>mainline</t>
        </is>
      </c>
      <c r="L144"/>
      <c r="M144"/>
      <c r="N144">
        <v>94.5</v>
      </c>
      <c r="O144" t="inlineStr">
        <is>
          <t>pass</t>
        </is>
      </c>
      <c r="P144">
        <f>HYPERLINK("file:///Users/jingyizhang/Documents/Playground/projects/local_job_resume_pipeline/data/deliverables/resume_portfolio/by_company/genentech/2026-04-06/69d3dab0366bb95ba5537f43/resume.md","/Users/jingyizhang/Documents/Playground/projects/local_job_resume_pipeline/data/deliverables/resume_portfolio/by_company/genentech/2026-04-06/69d3dab0366bb95ba5537f43/resume.md")</f>
      </c>
      <c r="Q144"/>
      <c r="R144">
        <f>HYPERLINK("https://careers.gene.com/us/en/job/GENEUS202509122839EXTERNALENUS/Machine-Learning-Engineer-Senior-Machine-Learning-Engineer-Infra?utm_source=linkedin&amp;utm_medium=phenom-feeds","https://careers.gene.com/us/en/job/GENEUS202509122839EXTERNALENUS/Machine-Learning-Engineer-Senior-Machine-Learning-Engineer-Infra?utm_source=linkedin&amp;utm_medium=phenom-feeds")</f>
      </c>
    </row>
    <row r="145">
      <c r="A145" t="inlineStr">
        <is>
          <t>BeaconFire Inc.</t>
        </is>
      </c>
      <c r="B145" t="inlineStr">
        <is>
          <t>2026-04-06 10:56:51</t>
        </is>
      </c>
      <c r="C145" t="inlineStr">
        <is>
          <t>69d3d7c3366bb95ba5537d8d</t>
        </is>
      </c>
      <c r="D145" t="inlineStr">
        <is>
          <t>Data Engineer</t>
        </is>
      </c>
      <c r="E145" t="inlineStr">
        <is>
          <t>1_Discovered</t>
        </is>
      </c>
      <c r="F145" t="inlineStr">
        <is>
          <t>fanout_batch</t>
        </is>
      </c>
      <c r="G145" t="inlineStr">
        <is>
          <t>retarget</t>
        </is>
      </c>
      <c r="H145" t="inlineStr">
        <is>
          <t>seed_qualified_health_data_engineer</t>
        </is>
      </c>
      <c r="I145" t="inlineStr">
        <is>
          <t>Qualified Health Data Engineer</t>
        </is>
      </c>
      <c r="J145"/>
      <c r="K145"/>
      <c r="L145"/>
      <c r="M145"/>
      <c r="N145">
        <v>94.9</v>
      </c>
      <c r="O145" t="inlineStr">
        <is>
          <t>pass</t>
        </is>
      </c>
      <c r="P145">
        <f>HYPERLINK("file:///Users/jingyizhang/Documents/Playground/projects/local_job_resume_pipeline/data/deliverables/resume_portfolio/by_company/beaconfire-inc/2026-04-06/69d3d7c3366bb95ba5537d8d/resume.md","/Users/jingyizhang/Documents/Playground/projects/local_job_resume_pipeline/data/deliverables/resume_portfolio/by_company/beaconfire-inc/2026-04-06/69d3d7c3366bb95ba5537d8d/resume.md")</f>
      </c>
      <c r="Q145"/>
      <c r="R145">
        <f>HYPERLINK("https://www.linkedin.com/jobs/view/4397950253","https://www.linkedin.com/jobs/view/4397950253")</f>
      </c>
    </row>
    <row r="146">
      <c r="A146" t="inlineStr">
        <is>
          <t>Mastercard</t>
        </is>
      </c>
      <c r="B146" t="inlineStr">
        <is>
          <t>2026-04-06 10:49:38</t>
        </is>
      </c>
      <c r="C146" t="inlineStr">
        <is>
          <t>69d3d612e63cea7a8b653d63</t>
        </is>
      </c>
      <c r="D146" t="inlineStr">
        <is>
          <t>Senior Site Reliability Engineer</t>
        </is>
      </c>
      <c r="E146" t="inlineStr">
        <is>
          <t>1_Discovered</t>
        </is>
      </c>
      <c r="F146" t="inlineStr">
        <is>
          <t>fanout_batch</t>
        </is>
      </c>
      <c r="G146" t="inlineStr">
        <is>
          <t>reuse</t>
        </is>
      </c>
      <c r="H146" t="inlineStr">
        <is>
          <t>seed_google_cloud_infra_anchor_candidate</t>
        </is>
      </c>
      <c r="I146" t="inlineStr">
        <is>
          <t>Google Cloud Infra Anchor</t>
        </is>
      </c>
      <c r="J146" t="inlineStr">
        <is>
          <t>google_cloud_infra_mainline</t>
        </is>
      </c>
      <c r="K146" t="inlineStr">
        <is>
          <t>mainline</t>
        </is>
      </c>
      <c r="L146"/>
      <c r="M146"/>
      <c r="N146"/>
      <c r="O146"/>
      <c r="P146"/>
      <c r="Q146"/>
      <c r="R146">
        <f>HYPERLINK("https://mastercard.wd1.myworkdayjobs.com/corporatecareers/job/OFallon-Missouri/Senior-BizOps-Engineer-1_R-268256","https://mastercard.wd1.myworkdayjobs.com/corporatecareers/job/OFallon-Missouri/Senior-BizOps-Engineer-1_R-268256")</f>
      </c>
    </row>
    <row r="147">
      <c r="A147" t="inlineStr">
        <is>
          <t>ParsonsKellogg</t>
        </is>
      </c>
      <c r="B147" t="inlineStr">
        <is>
          <t>2026-04-06 10:49:23</t>
        </is>
      </c>
      <c r="C147" t="inlineStr">
        <is>
          <t>69d3d603e63cea7a8b653d11</t>
        </is>
      </c>
      <c r="D147" t="inlineStr">
        <is>
          <t>Junior Full-Stack Software Developer</t>
        </is>
      </c>
      <c r="E147" t="inlineStr">
        <is>
          <t>1_Discovered</t>
        </is>
      </c>
      <c r="F147" t="inlineStr">
        <is>
          <t>fanout_batch</t>
        </is>
      </c>
      <c r="G147" t="inlineStr">
        <is>
          <t>retarget</t>
        </is>
      </c>
      <c r="H147" t="inlineStr">
        <is>
          <t>seed_generalist_dotnet_enterprise</t>
        </is>
      </c>
      <c r="I147" t="inlineStr">
        <is>
          <t>Generalist DotNet Enterprise</t>
        </is>
      </c>
      <c r="J147"/>
      <c r="K147"/>
      <c r="L147"/>
      <c r="M147"/>
      <c r="N147">
        <v>96.8</v>
      </c>
      <c r="O147" t="inlineStr">
        <is>
          <t>pass</t>
        </is>
      </c>
      <c r="P147">
        <f>HYPERLINK("file:///Users/jingyizhang/Documents/Playground/projects/local_job_resume_pipeline/data/deliverables/resume_portfolio/by_company/parsonskellogg/2026-04-06/69d3d603e63cea7a8b653d11/resume.md","/Users/jingyizhang/Documents/Playground/projects/local_job_resume_pipeline/data/deliverables/resume_portfolio/by_company/parsonskellogg/2026-04-06/69d3d603e63cea7a8b653d11/resume.md")</f>
      </c>
      <c r="Q147"/>
      <c r="R147">
        <f>HYPERLINK("https://parsons.wd5.myworkdayjobs.com/referral/job/US---Remote-Any-Location/Associate-Software-Developer_R179202","https://parsons.wd5.myworkdayjobs.com/referral/job/US---Remote-Any-Location/Associate-Software-Developer_R179202")</f>
      </c>
    </row>
    <row r="148">
      <c r="A148" t="inlineStr">
        <is>
          <t>Sabre Systems, LLC</t>
        </is>
      </c>
      <c r="B148" t="inlineStr">
        <is>
          <t>2026-04-06 10:49:15</t>
        </is>
      </c>
      <c r="C148" t="inlineStr">
        <is>
          <t>69d3d5fb366bb95ba5537cc4</t>
        </is>
      </c>
      <c r="D148" t="inlineStr">
        <is>
          <t>Software Developer 1</t>
        </is>
      </c>
      <c r="E148" t="inlineStr">
        <is>
          <t>1_Discovered</t>
        </is>
      </c>
      <c r="F148" t="inlineStr">
        <is>
          <t>fanout_batch</t>
        </is>
      </c>
      <c r="G148" t="inlineStr">
        <is>
          <t>reuse</t>
        </is>
      </c>
      <c r="H148" t="inlineStr">
        <is>
          <t>seed_generalist_dotnet_enterprise</t>
        </is>
      </c>
      <c r="I148" t="inlineStr">
        <is>
          <t>Generalist DotNet Enterprise</t>
        </is>
      </c>
      <c r="J148"/>
      <c r="K148"/>
      <c r="L148"/>
      <c r="M148"/>
      <c r="N148"/>
      <c r="O148"/>
      <c r="P148"/>
      <c r="Q148"/>
      <c r="R148">
        <f>HYPERLINK("https://careers.sabresystems.com/jobs/4586?lang=en-us&amp;iis=Job+Board&amp;iisn=LinkedIn","https://careers.sabresystems.com/jobs/4586?lang=en-us&amp;iis=Job+Board&amp;iisn=LinkedIn")</f>
      </c>
    </row>
    <row r="149">
      <c r="A149" t="inlineStr">
        <is>
          <t>Cisco</t>
        </is>
      </c>
      <c r="B149" t="inlineStr">
        <is>
          <t>2026-04-06 10:48:26</t>
        </is>
      </c>
      <c r="C149" t="inlineStr">
        <is>
          <t>69d3d5cacdb525785fbc37af</t>
        </is>
      </c>
      <c r="D149" t="inlineStr">
        <is>
          <t>Senior Software Engineer- Networking Technologies</t>
        </is>
      </c>
      <c r="E149" t="inlineStr">
        <is>
          <t>1_Discovered</t>
        </is>
      </c>
      <c r="F149" t="inlineStr">
        <is>
          <t>fanout_batch</t>
        </is>
      </c>
      <c r="G149" t="inlineStr">
        <is>
          <t>retarget</t>
        </is>
      </c>
      <c r="H149" t="inlineStr">
        <is>
          <t>seed_aws_support_backend_anchor</t>
        </is>
      </c>
      <c r="I149" t="inlineStr">
        <is>
          <t>AWS Support Backend Anchor</t>
        </is>
      </c>
      <c r="J149"/>
      <c r="K149"/>
      <c r="L149"/>
      <c r="M149"/>
      <c r="N149">
        <v>91.1</v>
      </c>
      <c r="O149" t="inlineStr">
        <is>
          <t>conditional_pass</t>
        </is>
      </c>
      <c r="P149">
        <f>HYPERLINK("file:///Users/jingyizhang/Documents/Playground/projects/local_job_resume_pipeline/data/deliverables/resume_portfolio/by_company/cisco/2026-04-06/69d3d5cacdb525785fbc37af/resume.md","/Users/jingyizhang/Documents/Playground/projects/local_job_resume_pipeline/data/deliverables/resume_portfolio/by_company/cisco/2026-04-06/69d3d5cacdb525785fbc37af/resume.md")</f>
      </c>
      <c r="Q149"/>
      <c r="R149">
        <f>HYPERLINK("https://cisco.wd5.myworkdayjobs.com/Cisco_Careers/job/Milpitas-California-US/Senior-Software-Engineer--Networking-Technologies_2010408","https://cisco.wd5.myworkdayjobs.com/Cisco_Careers/job/Milpitas-California-US/Senior-Software-Engineer--Networking-Technologies_2010408")</f>
      </c>
    </row>
    <row r="150">
      <c r="A150" t="inlineStr">
        <is>
          <t>Gopuff</t>
        </is>
      </c>
      <c r="B150" t="inlineStr">
        <is>
          <t>2026-04-06 10:45:16</t>
        </is>
      </c>
      <c r="C150" t="inlineStr">
        <is>
          <t>69abee182747003c3d51d6e8</t>
        </is>
      </c>
      <c r="D150" t="inlineStr">
        <is>
          <t>Senior Data Scientist - Delivery Technology</t>
        </is>
      </c>
      <c r="E150" t="inlineStr">
        <is>
          <t>1_Discovered</t>
        </is>
      </c>
      <c r="F150" t="inlineStr">
        <is>
          <t>fanout_batch</t>
        </is>
      </c>
      <c r="G150" t="inlineStr">
        <is>
          <t>reuse</t>
        </is>
      </c>
      <c r="H150" t="inlineStr">
        <is>
          <t>seed_plaid_data_scientist</t>
        </is>
      </c>
      <c r="I150" t="inlineStr">
        <is>
          <t>Plaid Data Scientist</t>
        </is>
      </c>
      <c r="J150"/>
      <c r="K150"/>
      <c r="L150"/>
      <c r="M150"/>
      <c r="N150"/>
      <c r="O150"/>
      <c r="P150"/>
      <c r="Q150"/>
      <c r="R150">
        <f>HYPERLINK("https://www.linkedin.com/jobs/view/4382154606","https://www.linkedin.com/jobs/view/4382154606")</f>
      </c>
    </row>
    <row r="151">
      <c r="A151" t="inlineStr">
        <is>
          <t>M Science</t>
        </is>
      </c>
      <c r="B151" t="inlineStr">
        <is>
          <t>2026-04-06 10:45:15</t>
        </is>
      </c>
      <c r="C151" t="inlineStr">
        <is>
          <t>69d3bf91e63cea7a8b6525f9</t>
        </is>
      </c>
      <c r="D151" t="inlineStr">
        <is>
          <t>Data Analyst</t>
        </is>
      </c>
      <c r="E151" t="inlineStr">
        <is>
          <t>1_Discovered</t>
        </is>
      </c>
      <c r="F151" t="inlineStr">
        <is>
          <t>fanout_batch</t>
        </is>
      </c>
      <c r="G151" t="inlineStr">
        <is>
          <t>retarget</t>
        </is>
      </c>
      <c r="H151" t="inlineStr">
        <is>
          <t>seed_qualified_health_data_engineer</t>
        </is>
      </c>
      <c r="I151" t="inlineStr">
        <is>
          <t>Qualified Health Data Engineer</t>
        </is>
      </c>
      <c r="J151"/>
      <c r="K151"/>
      <c r="L151"/>
      <c r="M151"/>
      <c r="N151">
        <v>97.0</v>
      </c>
      <c r="O151" t="inlineStr">
        <is>
          <t>pass</t>
        </is>
      </c>
      <c r="P151">
        <f>HYPERLINK("file:///Users/jingyizhang/Documents/Playground/projects/local_job_resume_pipeline/data/deliverables/resume_portfolio/by_company/m-science/2026-04-06/69d3bf91e63cea7a8b6525f9/resume.md","/Users/jingyizhang/Documents/Playground/projects/local_job_resume_pipeline/data/deliverables/resume_portfolio/by_company/m-science/2026-04-06/69d3bf91e63cea7a8b6525f9/resume.md")</f>
      </c>
      <c r="Q151"/>
      <c r="R151">
        <f>HYPERLINK("https://www.linkedin.com/jobs/view/4394480305","https://www.linkedin.com/jobs/view/4394480305")</f>
      </c>
    </row>
    <row r="152">
      <c r="A152" t="inlineStr">
        <is>
          <t>PayPal</t>
        </is>
      </c>
      <c r="B152" t="inlineStr">
        <is>
          <t>2026-04-06 10:44:23</t>
        </is>
      </c>
      <c r="C152" t="inlineStr">
        <is>
          <t>69d3e3f3366bb95ba5538681</t>
        </is>
      </c>
      <c r="D152" t="inlineStr">
        <is>
          <t>Sr Data Scientist, Fraud Risk Oversight</t>
        </is>
      </c>
      <c r="E152" t="inlineStr">
        <is>
          <t>1_Discovered</t>
        </is>
      </c>
      <c r="F152" t="inlineStr">
        <is>
          <t>fanout_batch</t>
        </is>
      </c>
      <c r="G152" t="inlineStr">
        <is>
          <t>reuse</t>
        </is>
      </c>
      <c r="H152" t="inlineStr">
        <is>
          <t>seed_plaid_data_scientist</t>
        </is>
      </c>
      <c r="I152" t="inlineStr">
        <is>
          <t>Plaid Data Scientist</t>
        </is>
      </c>
      <c r="J152"/>
      <c r="K152"/>
      <c r="L152"/>
      <c r="M152"/>
      <c r="N152"/>
      <c r="O152"/>
      <c r="P152"/>
      <c r="Q152"/>
      <c r="R152">
        <f>HYPERLINK("https://paypal.eightfold.ai/careers/job/274918948964?source=JobBoardIndeed-Organic","https://paypal.eightfold.ai/careers/job/274918948964?source=JobBoardIndeed-Organic")</f>
      </c>
    </row>
    <row r="153">
      <c r="A153" t="inlineStr">
        <is>
          <t>WHSmith North America</t>
        </is>
      </c>
      <c r="B153" t="inlineStr">
        <is>
          <t>2026-04-06 10:38:39</t>
        </is>
      </c>
      <c r="C153" t="inlineStr">
        <is>
          <t>69b09052dfaeda6ff59aa6d4</t>
        </is>
      </c>
      <c r="D153" t="inlineStr">
        <is>
          <t>SQL Reporting Analyst</t>
        </is>
      </c>
      <c r="E153" t="inlineStr">
        <is>
          <t>1_Discovered</t>
        </is>
      </c>
      <c r="F153" t="inlineStr">
        <is>
          <t>fanout_batch</t>
        </is>
      </c>
      <c r="G153" t="inlineStr">
        <is>
          <t>retarget</t>
        </is>
      </c>
      <c r="H153" t="inlineStr">
        <is>
          <t>seed_bytedance_ml_grad</t>
        </is>
      </c>
      <c r="I153" t="inlineStr">
        <is>
          <t>ByteDance ML Grad</t>
        </is>
      </c>
      <c r="J153"/>
      <c r="K153"/>
      <c r="L153"/>
      <c r="M153"/>
      <c r="N153">
        <v>93.8</v>
      </c>
      <c r="O153" t="inlineStr">
        <is>
          <t>pass</t>
        </is>
      </c>
      <c r="P153">
        <f>HYPERLINK("file:///Users/jingyizhang/Documents/Playground/projects/local_job_resume_pipeline/data/deliverables/resume_portfolio/by_company/whsmith-north-america/2026-04-06/69b09052dfaeda6ff59aa6d4/resume.md","/Users/jingyizhang/Documents/Playground/projects/local_job_resume_pipeline/data/deliverables/resume_portfolio/by_company/whsmith-north-america/2026-04-06/69b09052dfaeda6ff59aa6d4/resume.md")</f>
      </c>
      <c r="Q153"/>
      <c r="R153">
        <f>HYPERLINK("https://www.linkedin.com/jobs/view/4382488180","https://www.linkedin.com/jobs/view/4382488180")</f>
      </c>
    </row>
    <row r="154">
      <c r="A154" t="inlineStr">
        <is>
          <t>Alliant Credit Union</t>
        </is>
      </c>
      <c r="B154" t="inlineStr">
        <is>
          <t>2026-04-06 10:25:51</t>
        </is>
      </c>
      <c r="C154" t="inlineStr">
        <is>
          <t>69d3d07f366bb95ba55378ba</t>
        </is>
      </c>
      <c r="D154" t="inlineStr">
        <is>
          <t>Senior Business Intelligence Analyst</t>
        </is>
      </c>
      <c r="E154" t="inlineStr">
        <is>
          <t>1_Discovered</t>
        </is>
      </c>
      <c r="F154" t="inlineStr">
        <is>
          <t>fanout_batch</t>
        </is>
      </c>
      <c r="G154" t="inlineStr">
        <is>
          <t>reuse</t>
        </is>
      </c>
      <c r="H154" t="inlineStr">
        <is>
          <t>seed_plaid_data_scientist</t>
        </is>
      </c>
      <c r="I154" t="inlineStr">
        <is>
          <t>Plaid Data Scientist</t>
        </is>
      </c>
      <c r="J154"/>
      <c r="K154"/>
      <c r="L154"/>
      <c r="M154"/>
      <c r="N154"/>
      <c r="O154"/>
      <c r="P154"/>
      <c r="Q154"/>
      <c r="R154">
        <f>HYPERLINK("https://recruiting2.ultipro.com/ALL1033ALLIA/JobBoard/dc90e825-a948-4516-8a12-125bf49ecf03/Opportunity/OpportunityDetail?opportunityId=99ff818e-ec15-4ba2-8cb2-d7b19940edb9","https://recruiting2.ultipro.com/ALL1033ALLIA/JobBoard/dc90e825-a948-4516-8a12-125bf49ecf03/Opportunity/OpportunityDetail?opportunityId=99ff818e-ec15-4ba2-8cb2-d7b19940edb9")</f>
      </c>
    </row>
    <row r="155">
      <c r="A155" t="inlineStr">
        <is>
          <t>Traba</t>
        </is>
      </c>
      <c r="B155" t="inlineStr">
        <is>
          <t>2026-04-06 10:24:50</t>
        </is>
      </c>
      <c r="C155" t="inlineStr">
        <is>
          <t>69d3d042366bb95ba553789e</t>
        </is>
      </c>
      <c r="D155" t="inlineStr">
        <is>
          <t>Software Engineer</t>
        </is>
      </c>
      <c r="E155" t="inlineStr">
        <is>
          <t>1_Discovered</t>
        </is>
      </c>
      <c r="F155" t="inlineStr">
        <is>
          <t>fanout_batch</t>
        </is>
      </c>
      <c r="G155" t="inlineStr">
        <is>
          <t>reuse</t>
        </is>
      </c>
      <c r="H155" t="inlineStr">
        <is>
          <t>seed_egen_fullstack_node</t>
        </is>
      </c>
      <c r="I155" t="inlineStr">
        <is>
          <t>Egen Fullstack Node</t>
        </is>
      </c>
      <c r="J155"/>
      <c r="K155"/>
      <c r="L155"/>
      <c r="M155"/>
      <c r="N155"/>
      <c r="O155"/>
      <c r="P155"/>
      <c r="Q155"/>
      <c r="R155">
        <f>HYPERLINK("https://jobs.ashbyhq.com/traba/96971267-c11a-4751-8fd1-04ef97d407da?src=LinkedIn","https://jobs.ashbyhq.com/traba/96971267-c11a-4751-8fd1-04ef97d407da?src=LinkedIn")</f>
      </c>
    </row>
    <row r="156">
      <c r="A156" t="inlineStr">
        <is>
          <t>Pinnacle Medicines</t>
        </is>
      </c>
      <c r="B156" t="inlineStr">
        <is>
          <t>2026-04-06 10:20:25</t>
        </is>
      </c>
      <c r="C156" t="inlineStr">
        <is>
          <t>69d3cf39cdb525785fbc329c</t>
        </is>
      </c>
      <c r="D156" t="inlineStr">
        <is>
          <t>Machine Learning Engineer</t>
        </is>
      </c>
      <c r="E156" t="inlineStr">
        <is>
          <t>1_Discovered</t>
        </is>
      </c>
      <c r="F156" t="inlineStr">
        <is>
          <t>fanout_batch</t>
        </is>
      </c>
      <c r="G156" t="inlineStr">
        <is>
          <t>retarget</t>
        </is>
      </c>
      <c r="H156" t="inlineStr">
        <is>
          <t>seed_amazon_agi_ml_anchor</t>
        </is>
      </c>
      <c r="I156" t="inlineStr">
        <is>
          <t>Amazon AGI/LLM Anchor</t>
        </is>
      </c>
      <c r="J156" t="inlineStr">
        <is>
          <t>amazon_ai_ads_mainline</t>
        </is>
      </c>
      <c r="K156" t="inlineStr">
        <is>
          <t>mainline</t>
        </is>
      </c>
      <c r="L156"/>
      <c r="M156"/>
      <c r="N156">
        <v>93.8</v>
      </c>
      <c r="O156" t="inlineStr">
        <is>
          <t>pass</t>
        </is>
      </c>
      <c r="P156">
        <f>HYPERLINK("file:///Users/jingyizhang/Documents/Playground/projects/local_job_resume_pipeline/data/deliverables/resume_portfolio/by_company/pinnacle-medicines/2026-04-06/69d3cf39cdb525785fbc329c/resume.md","/Users/jingyizhang/Documents/Playground/projects/local_job_resume_pipeline/data/deliverables/resume_portfolio/by_company/pinnacle-medicines/2026-04-06/69d3cf39cdb525785fbc329c/resume.md")</f>
      </c>
      <c r="Q156"/>
      <c r="R156">
        <f>HYPERLINK("https://www.linkedin.com/jobs/view/4397946412","https://www.linkedin.com/jobs/view/4397946412")</f>
      </c>
    </row>
    <row r="157">
      <c r="A157" t="inlineStr">
        <is>
          <t>Textron</t>
        </is>
      </c>
      <c r="B157" t="inlineStr">
        <is>
          <t>2026-04-06 10:19:17</t>
        </is>
      </c>
      <c r="C157" t="inlineStr">
        <is>
          <t>69d3cef5e63cea7a8b65382c</t>
        </is>
      </c>
      <c r="D157" t="inlineStr">
        <is>
          <t>Data Analyst - QA &amp; EHS</t>
        </is>
      </c>
      <c r="E157" t="inlineStr">
        <is>
          <t>1_Discovered</t>
        </is>
      </c>
      <c r="F157" t="inlineStr">
        <is>
          <t>fanout_batch</t>
        </is>
      </c>
      <c r="G157" t="inlineStr">
        <is>
          <t>reuse</t>
        </is>
      </c>
      <c r="H157" t="inlineStr">
        <is>
          <t>seed_plaid_data_scientist</t>
        </is>
      </c>
      <c r="I157" t="inlineStr">
        <is>
          <t>Plaid Data Scientist</t>
        </is>
      </c>
      <c r="J157"/>
      <c r="K157"/>
      <c r="L157"/>
      <c r="M157"/>
      <c r="N157"/>
      <c r="O157"/>
      <c r="P157"/>
      <c r="Q157"/>
      <c r="R157">
        <f>HYPERLINK("https://textron.taleo.net/careersection/textron/jobdetail.ftl?job=1531576&amp;tz=UTC-05%3A00&amp;tzname=America%2FNew_York","https://textron.taleo.net/careersection/textron/jobdetail.ftl?job=1531576&amp;tz=UTC-05%3A00&amp;tzname=America%2FNew_York")</f>
      </c>
    </row>
    <row r="158">
      <c r="A158" t="inlineStr">
        <is>
          <t>FTI</t>
        </is>
      </c>
      <c r="B158" t="inlineStr">
        <is>
          <t>2026-04-06 10:18:38</t>
        </is>
      </c>
      <c r="C158" t="inlineStr">
        <is>
          <t>69d3cececdb525785fbc2f7b</t>
        </is>
      </c>
      <c r="D158" t="inlineStr">
        <is>
          <t>Software Quality Assurance and Support Analyst</t>
        </is>
      </c>
      <c r="E158" t="inlineStr">
        <is>
          <t>1_Discovered</t>
        </is>
      </c>
      <c r="F158" t="inlineStr">
        <is>
          <t>fanout_batch</t>
        </is>
      </c>
      <c r="G158" t="inlineStr">
        <is>
          <t>reuse</t>
        </is>
      </c>
      <c r="H158" t="inlineStr">
        <is>
          <t>seed_magnite_sdet</t>
        </is>
      </c>
      <c r="I158" t="inlineStr">
        <is>
          <t>Magnite SDET</t>
        </is>
      </c>
      <c r="J158"/>
      <c r="K158"/>
      <c r="L158"/>
      <c r="M158"/>
      <c r="N158"/>
      <c r="O158"/>
      <c r="P158"/>
      <c r="Q158"/>
      <c r="R158">
        <f>HYPERLINK("https://faithtechnologies.wd1.myworkdayjobs.com/fti_office/job/WI---Menasha/Software-Quality-Assurance-and-Support-Analyst_R9357","https://faithtechnologies.wd1.myworkdayjobs.com/fti_office/job/WI---Menasha/Software-Quality-Assurance-and-Support-Analyst_R9357")</f>
      </c>
    </row>
    <row r="159">
      <c r="A159" t="inlineStr">
        <is>
          <t>Accrete</t>
        </is>
      </c>
      <c r="B159" t="inlineStr">
        <is>
          <t>2026-04-06 10:00:45</t>
        </is>
      </c>
      <c r="C159" t="inlineStr">
        <is>
          <t>69d3ca9d54f00230c6d2a974</t>
        </is>
      </c>
      <c r="D159" t="inlineStr">
        <is>
          <t>Software Engineer</t>
        </is>
      </c>
      <c r="E159" t="inlineStr">
        <is>
          <t>1_Discovered</t>
        </is>
      </c>
      <c r="F159" t="inlineStr">
        <is>
          <t>fanout_batch</t>
        </is>
      </c>
      <c r="G159" t="inlineStr">
        <is>
          <t>reuse</t>
        </is>
      </c>
      <c r="H159" t="inlineStr">
        <is>
          <t>seed_fullstack_dotnet_azure</t>
        </is>
      </c>
      <c r="I159" t="inlineStr">
        <is>
          <t>Fullstack DotNet Azure</t>
        </is>
      </c>
      <c r="J159"/>
      <c r="K159"/>
      <c r="L159"/>
      <c r="M159"/>
      <c r="N159"/>
      <c r="O159"/>
      <c r="P159"/>
      <c r="Q159"/>
      <c r="R159">
        <f>HYPERLINK("https://accrete-ai.breezy.hr/p/0d80ab81b533-software-engineer","https://accrete-ai.breezy.hr/p/0d80ab81b533-software-engineer")</f>
      </c>
    </row>
    <row r="160">
      <c r="A160" t="inlineStr">
        <is>
          <t>Intel</t>
        </is>
      </c>
      <c r="B160" t="inlineStr">
        <is>
          <t>2026-04-06 09:59:13</t>
        </is>
      </c>
      <c r="C160" t="inlineStr">
        <is>
          <t>69d3ca41cfdc6132f9453dac</t>
        </is>
      </c>
      <c r="D160" t="inlineStr">
        <is>
          <t>AI Software Development Engineer</t>
        </is>
      </c>
      <c r="E160" t="inlineStr">
        <is>
          <t>1_Discovered</t>
        </is>
      </c>
      <c r="F160" t="inlineStr">
        <is>
          <t>fanout_batch</t>
        </is>
      </c>
      <c r="G160" t="inlineStr">
        <is>
          <t>retarget</t>
        </is>
      </c>
      <c r="H160" t="inlineStr">
        <is>
          <t>seed_jpmc_data_mlops_anchor</t>
        </is>
      </c>
      <c r="I160" t="inlineStr">
        <is>
          <t>JPMorganChase Data Platform/MLOps Anchor</t>
        </is>
      </c>
      <c r="J160" t="inlineStr">
        <is>
          <t>jpmc_data_mlops_mainline</t>
        </is>
      </c>
      <c r="K160" t="inlineStr">
        <is>
          <t>mainline</t>
        </is>
      </c>
      <c r="L160"/>
      <c r="M160"/>
      <c r="N160">
        <v>95.9</v>
      </c>
      <c r="O160" t="inlineStr">
        <is>
          <t>pass</t>
        </is>
      </c>
      <c r="P160">
        <f>HYPERLINK("file:///Users/jingyizhang/Documents/Playground/projects/local_job_resume_pipeline/data/deliverables/resume_portfolio/by_company/intel/2026-04-06/69d3ca41cfdc6132f9453dac/resume.md","/Users/jingyizhang/Documents/Playground/projects/local_job_resume_pipeline/data/deliverables/resume_portfolio/by_company/intel/2026-04-06/69d3ca41cfdc6132f9453dac/resume.md")</f>
      </c>
      <c r="Q160"/>
      <c r="R160">
        <f>HYPERLINK("https://intel.wd1.myworkdayjobs.com/External/job/US-Arizona-Phoenix/AI-Software-Development-Engineer_JR0282439","https://intel.wd1.myworkdayjobs.com/External/job/US-Arizona-Phoenix/AI-Software-Development-Engineer_JR0282439")</f>
      </c>
    </row>
    <row r="161">
      <c r="A161" t="inlineStr">
        <is>
          <t>A-V Services, Inc.</t>
        </is>
      </c>
      <c r="B161" t="inlineStr">
        <is>
          <t>2026-04-06 09:58:43</t>
        </is>
      </c>
      <c r="C161" t="inlineStr">
        <is>
          <t>69b08184dfaeda6ff59a7b0f</t>
        </is>
      </c>
      <c r="D161" t="inlineStr">
        <is>
          <t>Software Engineer II</t>
        </is>
      </c>
      <c r="E161" t="inlineStr">
        <is>
          <t>1_Discovered</t>
        </is>
      </c>
      <c r="F161" t="inlineStr">
        <is>
          <t>fanout_batch</t>
        </is>
      </c>
      <c r="G161" t="inlineStr">
        <is>
          <t>retarget</t>
        </is>
      </c>
      <c r="H161" t="inlineStr">
        <is>
          <t>seed_egen_fullstack_node</t>
        </is>
      </c>
      <c r="I161" t="inlineStr">
        <is>
          <t>Egen Fullstack Node</t>
        </is>
      </c>
      <c r="J161"/>
      <c r="K161"/>
      <c r="L161"/>
      <c r="M161"/>
      <c r="N161">
        <v>93.7</v>
      </c>
      <c r="O161" t="inlineStr">
        <is>
          <t>pass</t>
        </is>
      </c>
      <c r="P161">
        <f>HYPERLINK("file:///Users/jingyizhang/Documents/Playground/projects/local_job_resume_pipeline/data/deliverables/resume_portfolio/by_company/a-v-services-inc/2026-04-06/69b08184dfaeda6ff59a7b0f/resume.md","/Users/jingyizhang/Documents/Playground/projects/local_job_resume_pipeline/data/deliverables/resume_portfolio/by_company/a-v-services-inc/2026-04-06/69b08184dfaeda6ff59a7b0f/resume.md")</f>
      </c>
      <c r="Q161"/>
      <c r="R161">
        <f>HYPERLINK("https://www.linkedin.com/jobs/view/4383833236","https://www.linkedin.com/jobs/view/4383833236")</f>
      </c>
    </row>
    <row r="162">
      <c r="A162" t="inlineStr">
        <is>
          <t>Tiger Analytics</t>
        </is>
      </c>
      <c r="B162" t="inlineStr">
        <is>
          <t>2026-04-06 09:39:06</t>
        </is>
      </c>
      <c r="C162" t="inlineStr">
        <is>
          <t>69d3c58a54f00230c6d29e88</t>
        </is>
      </c>
      <c r="D162" t="inlineStr">
        <is>
          <t>Cloud Engineer</t>
        </is>
      </c>
      <c r="E162" t="inlineStr">
        <is>
          <t>1_Discovered</t>
        </is>
      </c>
      <c r="F162" t="inlineStr">
        <is>
          <t>fanout_batch</t>
        </is>
      </c>
      <c r="G162" t="inlineStr">
        <is>
          <t>retarget</t>
        </is>
      </c>
      <c r="H162" t="inlineStr">
        <is>
          <t>seed_fireblocks_sre_anchor</t>
        </is>
      </c>
      <c r="I162" t="inlineStr">
        <is>
          <t>Fireblocks SRE Anchor</t>
        </is>
      </c>
      <c r="J162"/>
      <c r="K162"/>
      <c r="L162"/>
      <c r="M162"/>
      <c r="N162">
        <v>85.2</v>
      </c>
      <c r="O162" t="inlineStr">
        <is>
          <t>fail</t>
        </is>
      </c>
      <c r="P162">
        <f>HYPERLINK("file:///Users/jingyizhang/Documents/Playground/projects/local_job_resume_pipeline/data/deliverables/resume_portfolio/by_company/tiger-analytics/2026-04-06/69d3c58a54f00230c6d29e88/resume.md","/Users/jingyizhang/Documents/Playground/projects/local_job_resume_pipeline/data/deliverables/resume_portfolio/by_company/tiger-analytics/2026-04-06/69d3c58a54f00230c6d29e88/resume.md")</f>
      </c>
      <c r="Q162"/>
      <c r="R162">
        <f>HYPERLINK("https://www.linkedin.com/jobs/view/4394486220","https://www.linkedin.com/jobs/view/4394486220")</f>
      </c>
    </row>
    <row r="163">
      <c r="A163" t="inlineStr">
        <is>
          <t>Lucid Motors</t>
        </is>
      </c>
      <c r="B163" t="inlineStr">
        <is>
          <t>2026-04-06 09:32:34</t>
        </is>
      </c>
      <c r="C163" t="inlineStr">
        <is>
          <t>6903bb5ad64a22104aa9240a</t>
        </is>
      </c>
      <c r="D163" t="inlineStr">
        <is>
          <t>Sr. Machine Learning Engineer, Autonomous Driving &amp; Parking</t>
        </is>
      </c>
      <c r="E163" t="inlineStr">
        <is>
          <t>1_Discovered</t>
        </is>
      </c>
      <c r="F163" t="inlineStr">
        <is>
          <t>fanout_batch</t>
        </is>
      </c>
      <c r="G163" t="inlineStr">
        <is>
          <t>retarget</t>
        </is>
      </c>
      <c r="H163" t="inlineStr">
        <is>
          <t>seed_amazon_agi_ml_anchor</t>
        </is>
      </c>
      <c r="I163" t="inlineStr">
        <is>
          <t>Amazon AGI/LLM Anchor</t>
        </is>
      </c>
      <c r="J163" t="inlineStr">
        <is>
          <t>amazon_ai_ads_mainline</t>
        </is>
      </c>
      <c r="K163" t="inlineStr">
        <is>
          <t>mainline</t>
        </is>
      </c>
      <c r="L163"/>
      <c r="M163"/>
      <c r="N163">
        <v>94.1</v>
      </c>
      <c r="O163" t="inlineStr">
        <is>
          <t>pass</t>
        </is>
      </c>
      <c r="P163">
        <f>HYPERLINK("file:///Users/jingyizhang/Documents/Playground/projects/local_job_resume_pipeline/data/deliverables/resume_portfolio/by_company/lucid-motors/2026-04-06/6903bb5ad64a22104aa9240a/resume.md","/Users/jingyizhang/Documents/Playground/projects/local_job_resume_pipeline/data/deliverables/resume_portfolio/by_company/lucid-motors/2026-04-06/6903bb5ad64a22104aa9240a/resume.md")</f>
      </c>
      <c r="Q163"/>
      <c r="R163">
        <f>HYPERLINK("https://boards.greenhouse.io/embed/job_app?token=4963850007&amp;utm_source=jobright","https://boards.greenhouse.io/embed/job_app?token=4963850007&amp;utm_source=jobright")</f>
      </c>
    </row>
    <row r="164">
      <c r="A164" t="inlineStr">
        <is>
          <t>Tech Consulting</t>
        </is>
      </c>
      <c r="B164" t="inlineStr">
        <is>
          <t>2026-04-06 09:19:51</t>
        </is>
      </c>
      <c r="C164" t="inlineStr">
        <is>
          <t>69d3c107cdb525785fbc206d</t>
        </is>
      </c>
      <c r="D164" t="inlineStr">
        <is>
          <t>Data Analyst</t>
        </is>
      </c>
      <c r="E164" t="inlineStr">
        <is>
          <t>1_Discovered</t>
        </is>
      </c>
      <c r="F164" t="inlineStr">
        <is>
          <t>fanout_batch</t>
        </is>
      </c>
      <c r="G164" t="inlineStr">
        <is>
          <t>reuse</t>
        </is>
      </c>
      <c r="H164" t="inlineStr">
        <is>
          <t>seed_plaid_data_scientist</t>
        </is>
      </c>
      <c r="I164" t="inlineStr">
        <is>
          <t>Plaid Data Scientist</t>
        </is>
      </c>
      <c r="J164"/>
      <c r="K164"/>
      <c r="L164"/>
      <c r="M164"/>
      <c r="N164"/>
      <c r="O164"/>
      <c r="P164"/>
      <c r="Q164"/>
      <c r="R164">
        <f>HYPERLINK("https://www.linkedin.com/jobs/view/4394461990","https://www.linkedin.com/jobs/view/4394461990")</f>
      </c>
    </row>
    <row r="165">
      <c r="A165" t="inlineStr">
        <is>
          <t>Ramp</t>
        </is>
      </c>
      <c r="B165" t="inlineStr">
        <is>
          <t>2026-04-06 09:06:34</t>
        </is>
      </c>
      <c r="C165" t="inlineStr">
        <is>
          <t>6932ac66a0dde7020e2e80de</t>
        </is>
      </c>
      <c r="D165" t="inlineStr">
        <is>
          <t>Software Engineer, Infrastructure</t>
        </is>
      </c>
      <c r="E165" t="inlineStr">
        <is>
          <t>1_Discovered</t>
        </is>
      </c>
      <c r="F165" t="inlineStr">
        <is>
          <t>fanout_batch</t>
        </is>
      </c>
      <c r="G165" t="inlineStr">
        <is>
          <t>retarget</t>
        </is>
      </c>
      <c r="H165" t="inlineStr">
        <is>
          <t>seed_trimedx_platform_multicloud</t>
        </is>
      </c>
      <c r="I165" t="inlineStr">
        <is>
          <t>TRIMEDX Platform Multicloud</t>
        </is>
      </c>
      <c r="J165"/>
      <c r="K165"/>
      <c r="L165"/>
      <c r="M165"/>
      <c r="N165">
        <v>94.6</v>
      </c>
      <c r="O165" t="inlineStr">
        <is>
          <t>pass</t>
        </is>
      </c>
      <c r="P165">
        <f>HYPERLINK("file:///Users/jingyizhang/Documents/Playground/projects/local_job_resume_pipeline/data/deliverables/resume_portfolio/by_company/ramp/2026-04-06/6932ac66a0dde7020e2e80de/resume.md","/Users/jingyizhang/Documents/Playground/projects/local_job_resume_pipeline/data/deliverables/resume_portfolio/by_company/ramp/2026-04-06/6932ac66a0dde7020e2e80de/resume.md")</f>
      </c>
      <c r="Q165"/>
      <c r="R165">
        <f>HYPERLINK("https://jobs.ashbyhq.com/ramp/0ea43bb5-201b-4626-ae19-1d7ae3a3193f?src=LinkedIn","https://jobs.ashbyhq.com/ramp/0ea43bb5-201b-4626-ae19-1d7ae3a3193f?src=LinkedIn")</f>
      </c>
    </row>
    <row r="166">
      <c r="A166" t="inlineStr">
        <is>
          <t>Van Andel Institute</t>
        </is>
      </c>
      <c r="B166" t="inlineStr">
        <is>
          <t>2026-04-06 08:37:09</t>
        </is>
      </c>
      <c r="C166" t="inlineStr">
        <is>
          <t>69d3b705366bb95ba553602f</t>
        </is>
      </c>
      <c r="D166" t="inlineStr">
        <is>
          <t>Image Analyst (Core Bioinformatician)</t>
        </is>
      </c>
      <c r="E166" t="inlineStr">
        <is>
          <t>1_Discovered</t>
        </is>
      </c>
      <c r="F166" t="inlineStr">
        <is>
          <t>fanout_batch</t>
        </is>
      </c>
      <c r="G166" t="inlineStr">
        <is>
          <t>reuse</t>
        </is>
      </c>
      <c r="H166" t="inlineStr">
        <is>
          <t>seed_plaid_data_scientist</t>
        </is>
      </c>
      <c r="I166" t="inlineStr">
        <is>
          <t>Plaid Data Scientist</t>
        </is>
      </c>
      <c r="J166"/>
      <c r="K166"/>
      <c r="L166"/>
      <c r="M166"/>
      <c r="N166"/>
      <c r="O166"/>
      <c r="P166"/>
      <c r="Q166"/>
      <c r="R166">
        <f>HYPERLINK("https://vai.wd1.myworkdayjobs.com/VAICareers/job/Van-Andel-Research-Institute/Image-Analyst--Core-Bioinformatician-_R1532-1","https://vai.wd1.myworkdayjobs.com/VAICareers/job/Van-Andel-Research-Institute/Image-Analyst--Core-Bioinformatician-_R1532-1")</f>
      </c>
    </row>
    <row r="167">
      <c r="A167" t="inlineStr">
        <is>
          <t>CareSource</t>
        </is>
      </c>
      <c r="B167" t="inlineStr">
        <is>
          <t>2026-04-06 08:37:05</t>
        </is>
      </c>
      <c r="C167" t="inlineStr">
        <is>
          <t>69d3b701366bb95ba5536022</t>
        </is>
      </c>
      <c r="D167" t="inlineStr">
        <is>
          <t>Application Developer II</t>
        </is>
      </c>
      <c r="E167" t="inlineStr">
        <is>
          <t>1_Discovered</t>
        </is>
      </c>
      <c r="F167" t="inlineStr">
        <is>
          <t>fanout_batch</t>
        </is>
      </c>
      <c r="G167" t="inlineStr">
        <is>
          <t>reuse</t>
        </is>
      </c>
      <c r="H167" t="inlineStr">
        <is>
          <t>seed_microsoft_polyglot_generalist</t>
        </is>
      </c>
      <c r="I167" t="inlineStr">
        <is>
          <t>Microsoft Polyglot Generalist</t>
        </is>
      </c>
      <c r="J167"/>
      <c r="K167"/>
      <c r="L167"/>
      <c r="M167"/>
      <c r="N167"/>
      <c r="O167"/>
      <c r="P167"/>
      <c r="Q167"/>
      <c r="R167">
        <f>HYPERLINK("https://caresource.wd1.myworkdayjobs.com/CareSource/job/Remote/Application-Developer-III_R10030","https://caresource.wd1.myworkdayjobs.com/CareSource/job/Remote/Application-Developer-III_R10030")</f>
      </c>
    </row>
    <row r="168">
      <c r="A168" t="inlineStr">
        <is>
          <t>Google</t>
        </is>
      </c>
      <c r="B168" t="inlineStr">
        <is>
          <t>2026-04-06 08:33:46</t>
        </is>
      </c>
      <c r="C168" t="inlineStr">
        <is>
          <t>69d3b63a54f00230c6d299ab</t>
        </is>
      </c>
      <c r="D168" t="inlineStr">
        <is>
          <t>Software Engineer III, Front End, Google Cloud AI</t>
        </is>
      </c>
      <c r="E168" t="inlineStr">
        <is>
          <t>1_Discovered</t>
        </is>
      </c>
      <c r="F168" t="inlineStr">
        <is>
          <t>fanout_batch</t>
        </is>
      </c>
      <c r="G168" t="inlineStr">
        <is>
          <t>retarget</t>
        </is>
      </c>
      <c r="H168" t="inlineStr">
        <is>
          <t>seed_codex_google_fullstack</t>
        </is>
      </c>
      <c r="I168" t="inlineStr">
        <is>
          <t>Google Full Stack</t>
        </is>
      </c>
      <c r="J168" t="inlineStr">
        <is>
          <t>google_product_ai_mainline</t>
        </is>
      </c>
      <c r="K168" t="inlineStr">
        <is>
          <t>mainline</t>
        </is>
      </c>
      <c r="L168"/>
      <c r="M168"/>
      <c r="N168">
        <v>96.4</v>
      </c>
      <c r="O168" t="inlineStr">
        <is>
          <t>pass</t>
        </is>
      </c>
      <c r="P168">
        <f>HYPERLINK("file:///Users/jingyizhang/Documents/Playground/projects/local_job_resume_pipeline/data/deliverables/resume_portfolio/by_company/google/2026-04-06/69d3b63a54f00230c6d299ab/resume.md","/Users/jingyizhang/Documents/Playground/projects/local_job_resume_pipeline/data/deliverables/resume_portfolio/by_company/google/2026-04-06/69d3b63a54f00230c6d299ab/resume.md")</f>
      </c>
      <c r="Q168"/>
      <c r="R168">
        <f>HYPERLINK("https://careers.google.com/jobs/results/118087305037521606-software-engineer-iii/?src=Online/LinkedIn/linkedin_us&amp;utm_source=linkedin&amp;utm_medium=jobposting&amp;utm_campaign=contract","https://careers.google.com/jobs/results/118087305037521606-software-engineer-iii/?src=Online/LinkedIn/linkedin_us&amp;utm_source=linkedin&amp;utm_medium=jobposting&amp;utm_campaign=contract")</f>
      </c>
    </row>
    <row r="169">
      <c r="A169" t="inlineStr">
        <is>
          <t>Google</t>
        </is>
      </c>
      <c r="B169" t="inlineStr">
        <is>
          <t>2026-04-06 08:33:21</t>
        </is>
      </c>
      <c r="C169" t="inlineStr">
        <is>
          <t>69d3b621e63cea7a8b6522c0</t>
        </is>
      </c>
      <c r="D169" t="inlineStr">
        <is>
          <t>Software Engineer III, Site Reliability Development</t>
        </is>
      </c>
      <c r="E169" t="inlineStr">
        <is>
          <t>1_Discovered</t>
        </is>
      </c>
      <c r="F169" t="inlineStr">
        <is>
          <t>fanout_batch</t>
        </is>
      </c>
      <c r="G169" t="inlineStr">
        <is>
          <t>reuse</t>
        </is>
      </c>
      <c r="H169" t="inlineStr">
        <is>
          <t>seed_google_cloud_infra_anchor_candidate</t>
        </is>
      </c>
      <c r="I169" t="inlineStr">
        <is>
          <t>Google Cloud Infra Anchor</t>
        </is>
      </c>
      <c r="J169" t="inlineStr">
        <is>
          <t>google_cloud_infra_mainline</t>
        </is>
      </c>
      <c r="K169" t="inlineStr">
        <is>
          <t>mainline</t>
        </is>
      </c>
      <c r="L169"/>
      <c r="M169"/>
      <c r="N169"/>
      <c r="O169"/>
      <c r="P169"/>
      <c r="Q169"/>
      <c r="R169">
        <f>HYPERLINK("https://careers.google.com/jobs/results/99613310667629254-software-engineer-iii/?src=Online/LinkedIn/linkedin_us&amp;utm_source=linkedin&amp;utm_medium=jobposting&amp;utm_campaign=contract","https://careers.google.com/jobs/results/99613310667629254-software-engineer-iii/?src=Online/LinkedIn/linkedin_us&amp;utm_source=linkedin&amp;utm_medium=jobposting&amp;utm_campaign=contract")</f>
      </c>
    </row>
    <row r="170">
      <c r="A170" t="inlineStr">
        <is>
          <t>Spok</t>
        </is>
      </c>
      <c r="B170" t="inlineStr">
        <is>
          <t>2026-04-06 08:32:53</t>
        </is>
      </c>
      <c r="C170" t="inlineStr">
        <is>
          <t>69d3b605cfdc6132f94531d0</t>
        </is>
      </c>
      <c r="D170" t="inlineStr">
        <is>
          <t>Software Engineer I (Telephony) - Remote (26-7)</t>
        </is>
      </c>
      <c r="E170" t="inlineStr">
        <is>
          <t>1_Discovered</t>
        </is>
      </c>
      <c r="F170" t="inlineStr">
        <is>
          <t>fanout_batch</t>
        </is>
      </c>
      <c r="G170" t="inlineStr">
        <is>
          <t>reuse</t>
        </is>
      </c>
      <c r="H170" t="inlineStr">
        <is>
          <t>seed_generalist_dotnet_enterprise</t>
        </is>
      </c>
      <c r="I170" t="inlineStr">
        <is>
          <t>Generalist DotNet Enterprise</t>
        </is>
      </c>
      <c r="J170"/>
      <c r="K170"/>
      <c r="L170"/>
      <c r="M170"/>
      <c r="N170"/>
      <c r="O170"/>
      <c r="P170"/>
      <c r="Q170"/>
      <c r="R170">
        <f>HYPERLINK("https://jobs.jobvite.com/spok/job/o16Lzfwb?__jvst=Job+Board&amp;__jvsd=LinkedIn","https://jobs.jobvite.com/spok/job/o16Lzfwb?__jvst=Job+Board&amp;__jvsd=LinkedIn")</f>
      </c>
    </row>
    <row r="171">
      <c r="A171" t="inlineStr">
        <is>
          <t>Uber</t>
        </is>
      </c>
      <c r="B171" t="inlineStr">
        <is>
          <t>2026-04-06 08:18:34</t>
        </is>
      </c>
      <c r="C171" t="inlineStr">
        <is>
          <t>69d3b2aae63cea7a8b652266</t>
        </is>
      </c>
      <c r="D171" t="inlineStr">
        <is>
          <t>Software Engineer</t>
        </is>
      </c>
      <c r="E171" t="inlineStr">
        <is>
          <t>1_Discovered</t>
        </is>
      </c>
      <c r="F171" t="inlineStr">
        <is>
          <t>fanout_batch</t>
        </is>
      </c>
      <c r="G171" t="inlineStr">
        <is>
          <t>reuse</t>
        </is>
      </c>
      <c r="H171" t="inlineStr">
        <is>
          <t>seed_paypal_java_backend</t>
        </is>
      </c>
      <c r="I171" t="inlineStr">
        <is>
          <t>PayPal Java Backend</t>
        </is>
      </c>
      <c r="J171"/>
      <c r="K171"/>
      <c r="L171"/>
      <c r="M171"/>
      <c r="N171"/>
      <c r="O171"/>
      <c r="P171"/>
      <c r="Q171"/>
      <c r="R171">
        <f>HYPERLINK("https://tnl2.jometer.com/v2/job?jz=5wqzs1f6fb58aa31c72c74b1108b00235c931KMALBBQAAADQ&amp;iis=Job%20Board%20-%20Recruitment%20Marketing&amp;iisn=LinkedIn","https://tnl2.jometer.com/v2/job?jz=5wqzs1f6fb58aa31c72c74b1108b00235c931KMALBBQAAADQ&amp;iis=Job%20Board%20-%20Recruitment%20Marketing&amp;iisn=LinkedIn")</f>
      </c>
    </row>
    <row r="172">
      <c r="A172" t="inlineStr">
        <is>
          <t>Uber</t>
        </is>
      </c>
      <c r="B172" t="inlineStr">
        <is>
          <t>2026-04-06 07:58:13</t>
        </is>
      </c>
      <c r="C172" t="inlineStr">
        <is>
          <t>699932bde0bddb6acac841d2</t>
        </is>
      </c>
      <c r="D172" t="inlineStr">
        <is>
          <t>Senior Machine Learning Engineer - Marketplace Pricing</t>
        </is>
      </c>
      <c r="E172" t="inlineStr">
        <is>
          <t>1_Discovered</t>
        </is>
      </c>
      <c r="F172" t="inlineStr">
        <is>
          <t>fanout_batch</t>
        </is>
      </c>
      <c r="G172" t="inlineStr">
        <is>
          <t>retarget</t>
        </is>
      </c>
      <c r="H172" t="inlineStr">
        <is>
          <t>seed_bytedance_ml_grad</t>
        </is>
      </c>
      <c r="I172" t="inlineStr">
        <is>
          <t>ByteDance ML Grad</t>
        </is>
      </c>
      <c r="J172"/>
      <c r="K172"/>
      <c r="L172"/>
      <c r="M172"/>
      <c r="N172">
        <v>95.1</v>
      </c>
      <c r="O172" t="inlineStr">
        <is>
          <t>pass</t>
        </is>
      </c>
      <c r="P172">
        <f>HYPERLINK("file:///Users/jingyizhang/Documents/Playground/projects/local_job_resume_pipeline/data/deliverables/resume_portfolio/by_company/uber/2026-04-06/699932bde0bddb6acac841d2/resume.md","/Users/jingyizhang/Documents/Playground/projects/local_job_resume_pipeline/data/deliverables/resume_portfolio/by_company/uber/2026-04-06/699932bde0bddb6acac841d2/resume.md")</f>
      </c>
      <c r="Q172"/>
      <c r="R172">
        <f>HYPERLINK("https://tnl2.jometer.com/v2/job?jz=5wqzs1638a02a68ba86c13e1fc216a9a9e776KMALBBQAAADQ&amp;iis=Job%20Board%20-%20Recruitment%20Marketing&amp;iisn=LinkedIn","https://tnl2.jometer.com/v2/job?jz=5wqzs1638a02a68ba86c13e1fc216a9a9e776KMALBBQAAADQ&amp;iis=Job%20Board%20-%20Recruitment%20Marketing&amp;iisn=LinkedIn")</f>
      </c>
    </row>
    <row r="173">
      <c r="A173" t="inlineStr">
        <is>
          <t>EliseAI</t>
        </is>
      </c>
      <c r="B173" t="inlineStr">
        <is>
          <t>2026-04-06 07:28:46</t>
        </is>
      </c>
      <c r="C173" t="inlineStr">
        <is>
          <t>6913a31ae344172248f72c97</t>
        </is>
      </c>
      <c r="D173" t="inlineStr">
        <is>
          <t>Senior Software Engineer (Full Stack)</t>
        </is>
      </c>
      <c r="E173" t="inlineStr">
        <is>
          <t>1_Discovered</t>
        </is>
      </c>
      <c r="F173" t="inlineStr">
        <is>
          <t>fanout_batch</t>
        </is>
      </c>
      <c r="G173" t="inlineStr">
        <is>
          <t>retarget</t>
        </is>
      </c>
      <c r="H173" t="inlineStr">
        <is>
          <t>seed_fullstack_dotnet_azure</t>
        </is>
      </c>
      <c r="I173" t="inlineStr">
        <is>
          <t>Fullstack DotNet Azure</t>
        </is>
      </c>
      <c r="J173"/>
      <c r="K173"/>
      <c r="L173"/>
      <c r="M173"/>
      <c r="N173">
        <v>87.4</v>
      </c>
      <c r="O173" t="inlineStr">
        <is>
          <t>fail</t>
        </is>
      </c>
      <c r="P173">
        <f>HYPERLINK("file:///Users/jingyizhang/Documents/Playground/projects/local_job_resume_pipeline/data/deliverables/resume_portfolio/by_company/eliseai/2026-04-06/6913a31ae344172248f72c97/resume.md","/Users/jingyizhang/Documents/Playground/projects/local_job_resume_pipeline/data/deliverables/resume_portfolio/by_company/eliseai/2026-04-06/6913a31ae344172248f72c97/resume.md")</f>
      </c>
      <c r="Q173"/>
      <c r="R173">
        <f>HYPERLINK("https://jobs.ashbyhq.com/eliseai/bd740e67-b145-46f0-b1f0-0a13610365dc?utm_source=LinkedInPaid","https://jobs.ashbyhq.com/eliseai/bd740e67-b145-46f0-b1f0-0a13610365dc?utm_source=LinkedInPaid")</f>
      </c>
    </row>
    <row r="174">
      <c r="A174" t="inlineStr">
        <is>
          <t>dbt Labs</t>
        </is>
      </c>
      <c r="B174" t="inlineStr">
        <is>
          <t>2026-04-06 07:26:39</t>
        </is>
      </c>
      <c r="C174" t="inlineStr">
        <is>
          <t>69d3a67fe63cea7a8b6519c9</t>
        </is>
      </c>
      <c r="D174" t="inlineStr">
        <is>
          <t>Software Engineer, Fusion</t>
        </is>
      </c>
      <c r="E174" t="inlineStr">
        <is>
          <t>1_Discovered</t>
        </is>
      </c>
      <c r="F174" t="inlineStr">
        <is>
          <t>fanout_batch</t>
        </is>
      </c>
      <c r="G174" t="inlineStr">
        <is>
          <t>retarget</t>
        </is>
      </c>
      <c r="H174" t="inlineStr">
        <is>
          <t>seed_fullstack_dotnet_azure</t>
        </is>
      </c>
      <c r="I174" t="inlineStr">
        <is>
          <t>Fullstack DotNet Azure</t>
        </is>
      </c>
      <c r="J174"/>
      <c r="K174"/>
      <c r="L174"/>
      <c r="M174"/>
      <c r="N174">
        <v>94.3</v>
      </c>
      <c r="O174" t="inlineStr">
        <is>
          <t>pass</t>
        </is>
      </c>
      <c r="P174">
        <f>HYPERLINK("file:///Users/jingyizhang/Documents/Playground/projects/local_job_resume_pipeline/data/deliverables/resume_portfolio/by_company/dbt-labs/2026-04-06/69d3a67fe63cea7a8b6519c9/resume.md","/Users/jingyizhang/Documents/Playground/projects/local_job_resume_pipeline/data/deliverables/resume_portfolio/by_company/dbt-labs/2026-04-06/69d3a67fe63cea7a8b6519c9/resume.md")</f>
      </c>
      <c r="Q174"/>
      <c r="R174">
        <f>HYPERLINK("https://boards.greenhouse.io/embed/job_app?token=4667647005&amp;utm_source=jobright","https://boards.greenhouse.io/embed/job_app?token=4667647005&amp;utm_source=jobright")</f>
      </c>
    </row>
    <row r="175">
      <c r="A175" t="inlineStr">
        <is>
          <t>Applied Intuition</t>
        </is>
      </c>
      <c r="B175" t="inlineStr">
        <is>
          <t>2026-04-06 07:24:36</t>
        </is>
      </c>
      <c r="C175" t="inlineStr">
        <is>
          <t>68c9d1b9f9c6ff7aedf1e18a</t>
        </is>
      </c>
      <c r="D175" t="inlineStr">
        <is>
          <t>Software Engineer - Over-the-Air Updates</t>
        </is>
      </c>
      <c r="E175" t="inlineStr">
        <is>
          <t>1_Discovered</t>
        </is>
      </c>
      <c r="F175" t="inlineStr">
        <is>
          <t>fanout_batch</t>
        </is>
      </c>
      <c r="G175" t="inlineStr">
        <is>
          <t>retarget</t>
        </is>
      </c>
      <c r="H175" t="inlineStr">
        <is>
          <t>seed_aws_support_backend_anchor</t>
        </is>
      </c>
      <c r="I175" t="inlineStr">
        <is>
          <t>AWS Support Backend Anchor</t>
        </is>
      </c>
      <c r="J175"/>
      <c r="K175"/>
      <c r="L175"/>
      <c r="M175"/>
      <c r="N175">
        <v>95.0</v>
      </c>
      <c r="O175" t="inlineStr">
        <is>
          <t>pass</t>
        </is>
      </c>
      <c r="P175">
        <f>HYPERLINK("file:///Users/jingyizhang/Documents/Playground/projects/local_job_resume_pipeline/data/deliverables/resume_portfolio/by_company/applied-intuition/2026-04-06/68c9d1b9f9c6ff7aedf1e18a/resume.md","/Users/jingyizhang/Documents/Playground/projects/local_job_resume_pipeline/data/deliverables/resume_portfolio/by_company/applied-intuition/2026-04-06/68c9d1b9f9c6ff7aedf1e18a/resume.md")</f>
      </c>
      <c r="Q175"/>
      <c r="R175">
        <f>HYPERLINK("https://boards.greenhouse.io/embed/job_app?token=4577865005&amp;utm_source=jobright","https://boards.greenhouse.io/embed/job_app?token=4577865005&amp;utm_source=jobright")</f>
      </c>
    </row>
    <row r="176">
      <c r="A176" t="inlineStr">
        <is>
          <t>Google</t>
        </is>
      </c>
      <c r="B176" t="inlineStr">
        <is>
          <t>2026-04-06 07:19:25</t>
        </is>
      </c>
      <c r="C176" t="inlineStr">
        <is>
          <t>69b7d08c3b74eb1e2c85793c</t>
        </is>
      </c>
      <c r="D176" t="inlineStr">
        <is>
          <t>Software Engineer III, Cloud Assist</t>
        </is>
      </c>
      <c r="E176" t="inlineStr">
        <is>
          <t>1_Discovered</t>
        </is>
      </c>
      <c r="F176" t="inlineStr">
        <is>
          <t>fanout_batch</t>
        </is>
      </c>
      <c r="G176" t="inlineStr">
        <is>
          <t>retarget</t>
        </is>
      </c>
      <c r="H176" t="inlineStr">
        <is>
          <t>seed_google_cloud_infra_anchor_candidate</t>
        </is>
      </c>
      <c r="I176" t="inlineStr">
        <is>
          <t>Google Cloud Infra Anchor</t>
        </is>
      </c>
      <c r="J176" t="inlineStr">
        <is>
          <t>google_cloud_infra_mainline</t>
        </is>
      </c>
      <c r="K176" t="inlineStr">
        <is>
          <t>mainline</t>
        </is>
      </c>
      <c r="L176"/>
      <c r="M176"/>
      <c r="N176">
        <v>96.5</v>
      </c>
      <c r="O176" t="inlineStr">
        <is>
          <t>pass</t>
        </is>
      </c>
      <c r="P176">
        <f>HYPERLINK("file:///Users/jingyizhang/Documents/Playground/projects/local_job_resume_pipeline/data/deliverables/resume_portfolio/by_company/google/2026-04-06/69b7d08c3b74eb1e2c85793c/resume.md","/Users/jingyizhang/Documents/Playground/projects/local_job_resume_pipeline/data/deliverables/resume_portfolio/by_company/google/2026-04-06/69b7d08c3b74eb1e2c85793c/resume.md")</f>
      </c>
      <c r="Q176"/>
      <c r="R176">
        <f>HYPERLINK("https://careers.google.com/jobs/results/105504410754261702-software-engineer-iii/?src=Online/LinkedIn/linkedin_us&amp;utm_source=linkedin&amp;utm_medium=jobposting&amp;utm_campaign=contract","https://careers.google.com/jobs/results/105504410754261702-software-engineer-iii/?src=Online/LinkedIn/linkedin_us&amp;utm_source=linkedin&amp;utm_medium=jobposting&amp;utm_campaign=contract")</f>
      </c>
    </row>
    <row r="177">
      <c r="A177" t="inlineStr">
        <is>
          <t>Google</t>
        </is>
      </c>
      <c r="B177" t="inlineStr">
        <is>
          <t>2026-04-06 07:19:25</t>
        </is>
      </c>
      <c r="C177" t="inlineStr">
        <is>
          <t>69b7d0813b74eb1e2c85792b</t>
        </is>
      </c>
      <c r="D177" t="inlineStr">
        <is>
          <t>Software Engineer III, Infrastructure, AI and Infrastructure</t>
        </is>
      </c>
      <c r="E177" t="inlineStr">
        <is>
          <t>1_Discovered</t>
        </is>
      </c>
      <c r="F177" t="inlineStr">
        <is>
          <t>fanout_batch</t>
        </is>
      </c>
      <c r="G177" t="inlineStr">
        <is>
          <t>reuse</t>
        </is>
      </c>
      <c r="H177" t="inlineStr">
        <is>
          <t>seed_google_cloud_infra_anchor_candidate</t>
        </is>
      </c>
      <c r="I177" t="inlineStr">
        <is>
          <t>Google Cloud Infra Anchor</t>
        </is>
      </c>
      <c r="J177" t="inlineStr">
        <is>
          <t>google_cloud_infra_mainline</t>
        </is>
      </c>
      <c r="K177" t="inlineStr">
        <is>
          <t>mainline</t>
        </is>
      </c>
      <c r="L177"/>
      <c r="M177"/>
      <c r="N177"/>
      <c r="O177"/>
      <c r="P177"/>
      <c r="Q177"/>
      <c r="R177">
        <f>HYPERLINK("https://careers.google.com/jobs/results/100137036026913478-software-engineer-iii/?src=Online/LinkedIn/linkedin_us&amp;utm_source=linkedin&amp;utm_medium=jobposting&amp;utm_campaign=contract","https://careers.google.com/jobs/results/100137036026913478-software-engineer-iii/?src=Online/LinkedIn/linkedin_us&amp;utm_source=linkedin&amp;utm_medium=jobposting&amp;utm_campaign=contract")</f>
      </c>
    </row>
    <row r="178">
      <c r="A178" t="inlineStr">
        <is>
          <t>OpenAI</t>
        </is>
      </c>
      <c r="B178" t="inlineStr">
        <is>
          <t>2026-04-06 07:12:54</t>
        </is>
      </c>
      <c r="C178" t="inlineStr">
        <is>
          <t>68f0ac62eb273a32d976ba37</t>
        </is>
      </c>
      <c r="D178" t="inlineStr">
        <is>
          <t>Software Engineer, Agent Infrastructure</t>
        </is>
      </c>
      <c r="E178" t="inlineStr">
        <is>
          <t>1_Discovered</t>
        </is>
      </c>
      <c r="F178" t="inlineStr">
        <is>
          <t>fanout_batch</t>
        </is>
      </c>
      <c r="G178" t="inlineStr">
        <is>
          <t>retarget</t>
        </is>
      </c>
      <c r="H178" t="inlineStr">
        <is>
          <t>seed_trimedx_platform_multicloud</t>
        </is>
      </c>
      <c r="I178" t="inlineStr">
        <is>
          <t>TRIMEDX Platform Multicloud</t>
        </is>
      </c>
      <c r="J178"/>
      <c r="K178"/>
      <c r="L178"/>
      <c r="M178"/>
      <c r="N178">
        <v>92.2</v>
      </c>
      <c r="O178" t="inlineStr">
        <is>
          <t>conditional_pass</t>
        </is>
      </c>
      <c r="P178">
        <f>HYPERLINK("file:///Users/jingyizhang/Documents/Playground/projects/local_job_resume_pipeline/data/deliverables/resume_portfolio/by_company/openai/2026-04-06/68f0ac62eb273a32d976ba37/resume.md","/Users/jingyizhang/Documents/Playground/projects/local_job_resume_pipeline/data/deliverables/resume_portfolio/by_company/openai/2026-04-06/68f0ac62eb273a32d976ba37/resume.md")</f>
      </c>
      <c r="Q178"/>
      <c r="R178">
        <f>HYPERLINK("https://jobs.ashbyhq.com/openai/c1316397-25bb-4add-9e9d-0e3ea8ba929a/application","https://jobs.ashbyhq.com/openai/c1316397-25bb-4add-9e9d-0e3ea8ba929a/application")</f>
      </c>
    </row>
    <row r="179">
      <c r="A179" t="inlineStr">
        <is>
          <t>Doppel</t>
        </is>
      </c>
      <c r="B179" t="inlineStr">
        <is>
          <t>2026-04-06 07:12:47</t>
        </is>
      </c>
      <c r="C179" t="inlineStr">
        <is>
          <t>69a7321f76bbe83d3afa8d8f</t>
        </is>
      </c>
      <c r="D179" t="inlineStr">
        <is>
          <t>Software Engineer, Infrastructure</t>
        </is>
      </c>
      <c r="E179" t="inlineStr">
        <is>
          <t>1_Discovered</t>
        </is>
      </c>
      <c r="F179" t="inlineStr">
        <is>
          <t>fanout_batch</t>
        </is>
      </c>
      <c r="G179" t="inlineStr">
        <is>
          <t>reuse</t>
        </is>
      </c>
      <c r="H179" t="inlineStr">
        <is>
          <t>seed_trimedx_platform_multicloud</t>
        </is>
      </c>
      <c r="I179" t="inlineStr">
        <is>
          <t>TRIMEDX Platform Multicloud</t>
        </is>
      </c>
      <c r="J179"/>
      <c r="K179"/>
      <c r="L179"/>
      <c r="M179"/>
      <c r="N179"/>
      <c r="O179"/>
      <c r="P179"/>
      <c r="Q179"/>
      <c r="R179">
        <f>HYPERLINK("https://jobs.ashbyhq.com/Doppel/aba5c986-7e85-4f79-8553-e85634400b78?src=LinkedIn","https://jobs.ashbyhq.com/Doppel/aba5c986-7e85-4f79-8553-e85634400b78?src=LinkedIn")</f>
      </c>
    </row>
    <row r="180">
      <c r="A180" t="inlineStr">
        <is>
          <t>EliseAI</t>
        </is>
      </c>
      <c r="B180" t="inlineStr">
        <is>
          <t>2026-04-06 07:12:43</t>
        </is>
      </c>
      <c r="C180" t="inlineStr">
        <is>
          <t>69863cba8da7a6120460ed8b</t>
        </is>
      </c>
      <c r="D180" t="inlineStr">
        <is>
          <t>Senior Data Engineer</t>
        </is>
      </c>
      <c r="E180" t="inlineStr">
        <is>
          <t>1_Discovered</t>
        </is>
      </c>
      <c r="F180" t="inlineStr">
        <is>
          <t>fanout_batch</t>
        </is>
      </c>
      <c r="G180" t="inlineStr">
        <is>
          <t>reuse</t>
        </is>
      </c>
      <c r="H180" t="inlineStr">
        <is>
          <t>seed_qualified_health_data_engineer</t>
        </is>
      </c>
      <c r="I180" t="inlineStr">
        <is>
          <t>Qualified Health Data Engineer</t>
        </is>
      </c>
      <c r="J180"/>
      <c r="K180"/>
      <c r="L180"/>
      <c r="M180"/>
      <c r="N180"/>
      <c r="O180"/>
      <c r="P180"/>
      <c r="Q180"/>
      <c r="R180">
        <f>HYPERLINK("https://jobs.ashbyhq.com/eliseai/59d7a2a6-cb05-456f-bde7-5337f1d88589?utm_source=LinkedInPaid","https://jobs.ashbyhq.com/eliseai/59d7a2a6-cb05-456f-bde7-5337f1d88589?utm_source=LinkedInPaid")</f>
      </c>
    </row>
    <row r="181">
      <c r="A181" t="inlineStr">
        <is>
          <t>Comulate</t>
        </is>
      </c>
      <c r="B181" t="inlineStr">
        <is>
          <t>2026-04-06 07:12:25</t>
        </is>
      </c>
      <c r="C181" t="inlineStr">
        <is>
          <t>69a3cfac0da45516f16cc887</t>
        </is>
      </c>
      <c r="D181" t="inlineStr">
        <is>
          <t>AI Engineer</t>
        </is>
      </c>
      <c r="E181" t="inlineStr">
        <is>
          <t>1_Discovered</t>
        </is>
      </c>
      <c r="F181" t="inlineStr">
        <is>
          <t>fanout_batch</t>
        </is>
      </c>
      <c r="G181" t="inlineStr">
        <is>
          <t>retarget</t>
        </is>
      </c>
      <c r="H181" t="inlineStr">
        <is>
          <t>seed_linkedin_mle_foundation</t>
        </is>
      </c>
      <c r="I181" t="inlineStr">
        <is>
          <t>LinkedIn MLE Foundation</t>
        </is>
      </c>
      <c r="J181"/>
      <c r="K181"/>
      <c r="L181"/>
      <c r="M181"/>
      <c r="N181">
        <v>95.2</v>
      </c>
      <c r="O181" t="inlineStr">
        <is>
          <t>pass</t>
        </is>
      </c>
      <c r="P181">
        <f>HYPERLINK("file:///Users/jingyizhang/Documents/Playground/projects/local_job_resume_pipeline/data/deliverables/resume_portfolio/by_company/comulate/2026-04-06/69a3cfac0da45516f16cc887/resume.md","/Users/jingyizhang/Documents/Playground/projects/local_job_resume_pipeline/data/deliverables/resume_portfolio/by_company/comulate/2026-04-06/69a3cfac0da45516f16cc887/resume.md")</f>
      </c>
      <c r="Q181"/>
      <c r="R181">
        <f>HYPERLINK("https://jobs.ashbyhq.com/comulate/c43fa989-b06a-45be-b5aa-f20e102bb745/application?utm_source=PyDKyZpboQ","https://jobs.ashbyhq.com/comulate/c43fa989-b06a-45be-b5aa-f20e102bb745/application?utm_source=PyDKyZpboQ")</f>
      </c>
    </row>
    <row r="182">
      <c r="A182" t="inlineStr">
        <is>
          <t>Apple</t>
        </is>
      </c>
      <c r="B182" t="inlineStr">
        <is>
          <t>2026-04-06 06:46:09</t>
        </is>
      </c>
      <c r="C182" t="inlineStr">
        <is>
          <t>69d3ad55366bb95ba5535ce9</t>
        </is>
      </c>
      <c r="D182" t="inlineStr">
        <is>
          <t>Machine Learning Engineer - On-device Control and Optimization, Core OS</t>
        </is>
      </c>
      <c r="E182" t="inlineStr">
        <is>
          <t>1_Discovered</t>
        </is>
      </c>
      <c r="F182" t="inlineStr">
        <is>
          <t>fanout_batch</t>
        </is>
      </c>
      <c r="G182" t="inlineStr">
        <is>
          <t>reuse</t>
        </is>
      </c>
      <c r="H182" t="inlineStr">
        <is>
          <t>seed_amazon_agi_ml_anchor</t>
        </is>
      </c>
      <c r="I182" t="inlineStr">
        <is>
          <t>Amazon AGI/LLM Anchor</t>
        </is>
      </c>
      <c r="J182" t="inlineStr">
        <is>
          <t>amazon_ai_ads_mainline</t>
        </is>
      </c>
      <c r="K182" t="inlineStr">
        <is>
          <t>mainline</t>
        </is>
      </c>
      <c r="L182"/>
      <c r="M182"/>
      <c r="N182"/>
      <c r="O182"/>
      <c r="P182"/>
      <c r="Q182"/>
      <c r="R182">
        <f>HYPERLINK("https://jobs.apple.com/en-us/details/200655892-3337/machine-learning-engineer-on-device-control-and-optimization-core-os?board_id=JB001&amp;rx_campaign=indeed0&amp;rx_ch=jobp4p&amp;rx_group=122365&amp;rx_id=59ad3920-3182-11f1-89a4-17b8ebc7f983&amp;rx_job=200655892-3337_rxr-662&amp;rx_medium=cpc&amp;rx_r=none&amp;rx_source=indeed&amp;rx_ts=20260406T103813Z&amp;rx_vp=cpc&amp;team=SFTWR&amp;cid=aggregators_re+co_global_indeed_nationwide_organic&amp;board_id=JB001&amp;rx_p=ML81BTNLNO","https://jobs.apple.com/en-us/details/200655892-3337/machine-learning-engineer-on-device-control-and-optimization-core-os?board_id=JB001&amp;rx_campaign=indeed0&amp;rx_ch=jobp4p&amp;rx_group=122365&amp;rx_id=59ad3920-3182-11f1-89a4-17b8ebc7f983&amp;rx_job=200655892-3337_rxr-662&amp;rx_medium=cpc&amp;rx_r=none&amp;rx_source=indeed&amp;rx_ts=20260406T103813Z&amp;rx_vp=cpc&amp;team=SFTWR&amp;cid=aggregators_re+co_global_indeed_nationwide_organic&amp;board_id=JB001&amp;rx_p=ML81BTNLNO")</f>
      </c>
    </row>
    <row r="183">
      <c r="A183" t="inlineStr">
        <is>
          <t>Intuit</t>
        </is>
      </c>
      <c r="B183" t="inlineStr">
        <is>
          <t>2026-04-06 06:46:08</t>
        </is>
      </c>
      <c r="C183" t="inlineStr">
        <is>
          <t>69458c85951654073537a5c9</t>
        </is>
      </c>
      <c r="D183" t="inlineStr">
        <is>
          <t>Senior AI Scientist</t>
        </is>
      </c>
      <c r="E183" t="inlineStr">
        <is>
          <t>1_Discovered</t>
        </is>
      </c>
      <c r="F183" t="inlineStr">
        <is>
          <t>fanout_batch</t>
        </is>
      </c>
      <c r="G183" t="inlineStr">
        <is>
          <t>reuse</t>
        </is>
      </c>
      <c r="H183" t="inlineStr">
        <is>
          <t>seed_bytedance_ml_grad</t>
        </is>
      </c>
      <c r="I183" t="inlineStr">
        <is>
          <t>ByteDance ML Grad</t>
        </is>
      </c>
      <c r="J183"/>
      <c r="K183"/>
      <c r="L183"/>
      <c r="M183"/>
      <c r="N183"/>
      <c r="O183"/>
      <c r="P183"/>
      <c r="Q183"/>
      <c r="R183">
        <f>HYPERLINK("https://jobs.intuit.com/job/-/-/27595/87369441680?cid=pjob_li_click_us_datasci-fy26_cn_text_job_int-tm&amp;iis=pjob&amp;iisn=li&amp;p_sid=ZqdOmqb&amp;p_uid=iUbM6Yms8o&amp;ss=paid&amp;utm_campaign=&amp;utm_content=pj_board&amp;utm_medium=jobad&amp;utm_source=linkedin+slots+%28intuit%29","https://jobs.intuit.com/job/-/-/27595/87369441680?cid=pjob_li_click_us_datasci-fy26_cn_text_job_int-tm&amp;iis=pjob&amp;iisn=li&amp;p_sid=ZqdOmqb&amp;p_uid=iUbM6Yms8o&amp;ss=paid&amp;utm_campaign=&amp;utm_content=pj_board&amp;utm_medium=jobad&amp;utm_source=linkedin+slots+%28intuit%29")</f>
      </c>
    </row>
    <row r="184">
      <c r="A184" t="inlineStr">
        <is>
          <t>Doppel</t>
        </is>
      </c>
      <c r="B184" t="inlineStr">
        <is>
          <t>2026-04-06 06:45:51</t>
        </is>
      </c>
      <c r="C184" t="inlineStr">
        <is>
          <t>68cc6ce3128dc347fd924c22</t>
        </is>
      </c>
      <c r="D184" t="inlineStr">
        <is>
          <t>Software Engineer, Detection</t>
        </is>
      </c>
      <c r="E184" t="inlineStr">
        <is>
          <t>1_Discovered</t>
        </is>
      </c>
      <c r="F184" t="inlineStr">
        <is>
          <t>fanout_batch</t>
        </is>
      </c>
      <c r="G184" t="inlineStr">
        <is>
          <t>retarget</t>
        </is>
      </c>
      <c r="H184" t="inlineStr">
        <is>
          <t>seed_paypal_java_backend</t>
        </is>
      </c>
      <c r="I184" t="inlineStr">
        <is>
          <t>PayPal Java Backend</t>
        </is>
      </c>
      <c r="J184"/>
      <c r="K184"/>
      <c r="L184"/>
      <c r="M184"/>
      <c r="N184">
        <v>95.5</v>
      </c>
      <c r="O184" t="inlineStr">
        <is>
          <t>pass</t>
        </is>
      </c>
      <c r="P184">
        <f>HYPERLINK("file:///Users/jingyizhang/Documents/Playground/projects/local_job_resume_pipeline/data/deliverables/resume_portfolio/by_company/doppel/2026-04-06/68cc6ce3128dc347fd924c22/resume.md","/Users/jingyizhang/Documents/Playground/projects/local_job_resume_pipeline/data/deliverables/resume_portfolio/by_company/doppel/2026-04-06/68cc6ce3128dc347fd924c22/resume.md")</f>
      </c>
      <c r="Q184"/>
      <c r="R184">
        <f>HYPERLINK("https://jobs.ashbyhq.com/Doppel/8df712b8-be0f-4c2e-bb90-b7b5c8fb8407?src=LinkedIn","https://jobs.ashbyhq.com/Doppel/8df712b8-be0f-4c2e-bb90-b7b5c8fb8407?src=LinkedIn")</f>
      </c>
    </row>
    <row r="185">
      <c r="A185" t="inlineStr">
        <is>
          <t>Intuit</t>
        </is>
      </c>
      <c r="B185" t="inlineStr">
        <is>
          <t>2026-04-06 06:45:02</t>
        </is>
      </c>
      <c r="C185" t="inlineStr">
        <is>
          <t>6945819963141d1884551147</t>
        </is>
      </c>
      <c r="D185" t="inlineStr">
        <is>
          <t>Senior AI Scientist</t>
        </is>
      </c>
      <c r="E185" t="inlineStr">
        <is>
          <t>1_Discovered</t>
        </is>
      </c>
      <c r="F185" t="inlineStr">
        <is>
          <t>fanout_batch</t>
        </is>
      </c>
      <c r="G185" t="inlineStr">
        <is>
          <t>reuse</t>
        </is>
      </c>
      <c r="H185" t="inlineStr">
        <is>
          <t>seed_bytedance_ml_grad</t>
        </is>
      </c>
      <c r="I185" t="inlineStr">
        <is>
          <t>ByteDance ML Grad</t>
        </is>
      </c>
      <c r="J185"/>
      <c r="K185"/>
      <c r="L185"/>
      <c r="M185"/>
      <c r="N185"/>
      <c r="O185"/>
      <c r="P185"/>
      <c r="Q185"/>
      <c r="R185">
        <f>HYPERLINK("https://jobs.intuit.com/job/-/-/27595/87369449680?cid=pjob_li_click_us_datasci-fy26_cn_text_job_int-tm&amp;iis=pjob&amp;iisn=li&amp;p_sid=x72J6cb&amp;p_uid=TnXK1IJVQE&amp;ss=paid&amp;utm_campaign=&amp;utm_content=pj_board&amp;utm_medium=jobad&amp;utm_source=linkedin+slots+%28intuit%29","https://jobs.intuit.com/job/-/-/27595/87369449680?cid=pjob_li_click_us_datasci-fy26_cn_text_job_int-tm&amp;iis=pjob&amp;iisn=li&amp;p_sid=x72J6cb&amp;p_uid=TnXK1IJVQE&amp;ss=paid&amp;utm_campaign=&amp;utm_content=pj_board&amp;utm_medium=jobad&amp;utm_source=linkedin+slots+%28intuit%29")</f>
      </c>
    </row>
    <row r="186">
      <c r="A186" t="inlineStr">
        <is>
          <t>Kikoff</t>
        </is>
      </c>
      <c r="B186" t="inlineStr">
        <is>
          <t>2026-04-06 05:59:31</t>
        </is>
      </c>
      <c r="C186" t="inlineStr">
        <is>
          <t>69d39213cfdc6132f94523d6</t>
        </is>
      </c>
      <c r="D186" t="inlineStr">
        <is>
          <t>Data Scientist</t>
        </is>
      </c>
      <c r="E186" t="inlineStr">
        <is>
          <t>1_Discovered</t>
        </is>
      </c>
      <c r="F186" t="inlineStr">
        <is>
          <t>fanout_batch</t>
        </is>
      </c>
      <c r="G186" t="inlineStr">
        <is>
          <t>reuse</t>
        </is>
      </c>
      <c r="H186" t="inlineStr">
        <is>
          <t>seed_plaid_data_scientist</t>
        </is>
      </c>
      <c r="I186" t="inlineStr">
        <is>
          <t>Plaid Data Scientist</t>
        </is>
      </c>
      <c r="J186"/>
      <c r="K186"/>
      <c r="L186"/>
      <c r="M186"/>
      <c r="N186"/>
      <c r="O186"/>
      <c r="P186"/>
      <c r="Q186"/>
      <c r="R186">
        <f>HYPERLINK("https://boards.greenhouse.io/embed/job_app?token=4157504009&amp;utm_source=jobright","https://boards.greenhouse.io/embed/job_app?token=4157504009&amp;utm_source=jobright")</f>
      </c>
    </row>
    <row r="187">
      <c r="A187" t="inlineStr">
        <is>
          <t>Zoox</t>
        </is>
      </c>
      <c r="B187" t="inlineStr">
        <is>
          <t>2026-04-06 05:58:34</t>
        </is>
      </c>
      <c r="C187" t="inlineStr">
        <is>
          <t>6945bff3951654073537dcc6</t>
        </is>
      </c>
      <c r="D187" t="inlineStr">
        <is>
          <t>Machine Learning Engineer - MLA Perception Offline Driving Intelligence</t>
        </is>
      </c>
      <c r="E187" t="inlineStr">
        <is>
          <t>1_Discovered</t>
        </is>
      </c>
      <c r="F187" t="inlineStr">
        <is>
          <t>fanout_batch</t>
        </is>
      </c>
      <c r="G187" t="inlineStr">
        <is>
          <t>retarget</t>
        </is>
      </c>
      <c r="H187" t="inlineStr">
        <is>
          <t>seed_bytedance_ml_grad</t>
        </is>
      </c>
      <c r="I187" t="inlineStr">
        <is>
          <t>ByteDance ML Grad</t>
        </is>
      </c>
      <c r="J187"/>
      <c r="K187"/>
      <c r="L187"/>
      <c r="M187"/>
      <c r="N187">
        <v>93.4</v>
      </c>
      <c r="O187" t="inlineStr">
        <is>
          <t>pass</t>
        </is>
      </c>
      <c r="P187">
        <f>HYPERLINK("file:///Users/jingyizhang/Documents/Playground/projects/local_job_resume_pipeline/data/deliverables/resume_portfolio/by_company/zoox/2026-04-06/6945bff3951654073537dcc6/resume.md","/Users/jingyizhang/Documents/Playground/projects/local_job_resume_pipeline/data/deliverables/resume_portfolio/by_company/zoox/2026-04-06/6945bff3951654073537dcc6/resume.md")</f>
      </c>
      <c r="Q187"/>
      <c r="R187">
        <f>HYPERLINK("https://jobs.lever.co/zoox/809b1301-9654-4673-8f2d-4bc68bcead7f/apply?source=jobright","https://jobs.lever.co/zoox/809b1301-9654-4673-8f2d-4bc68bcead7f/apply?source=jobright")</f>
      </c>
    </row>
    <row r="188">
      <c r="A188" t="inlineStr">
        <is>
          <t>Kikoff</t>
        </is>
      </c>
      <c r="B188" t="inlineStr">
        <is>
          <t>2026-04-06 05:45:55</t>
        </is>
      </c>
      <c r="C188" t="inlineStr">
        <is>
          <t>69d38ee3891d7b11cfcf1983</t>
        </is>
      </c>
      <c r="D188" t="inlineStr">
        <is>
          <t>Senior Backend Engineer - Growth &amp; Personalization</t>
        </is>
      </c>
      <c r="E188" t="inlineStr">
        <is>
          <t>1_Discovered</t>
        </is>
      </c>
      <c r="F188" t="inlineStr">
        <is>
          <t>fanout_batch</t>
        </is>
      </c>
      <c r="G188" t="inlineStr">
        <is>
          <t>reuse</t>
        </is>
      </c>
      <c r="H188" t="inlineStr">
        <is>
          <t>seed_paypal_java_backend</t>
        </is>
      </c>
      <c r="I188" t="inlineStr">
        <is>
          <t>PayPal Java Backend</t>
        </is>
      </c>
      <c r="J188"/>
      <c r="K188"/>
      <c r="L188"/>
      <c r="M188"/>
      <c r="N188"/>
      <c r="O188"/>
      <c r="P188"/>
      <c r="Q188"/>
      <c r="R188">
        <f>HYPERLINK("https://boards.greenhouse.io/embed/job_app?token=4157154009&amp;utm_source=jobright","https://boards.greenhouse.io/embed/job_app?token=4157154009&amp;utm_source=jobright")</f>
      </c>
    </row>
    <row r="189">
      <c r="A189" t="inlineStr">
        <is>
          <t>Kikoff</t>
        </is>
      </c>
      <c r="B189" t="inlineStr">
        <is>
          <t>2026-04-06 05:41:45</t>
        </is>
      </c>
      <c r="C189" t="inlineStr">
        <is>
          <t>69d38de9cfdc6132f9451c7d</t>
        </is>
      </c>
      <c r="D189" t="inlineStr">
        <is>
          <t>Senior Data Engineer</t>
        </is>
      </c>
      <c r="E189" t="inlineStr">
        <is>
          <t>1_Discovered</t>
        </is>
      </c>
      <c r="F189" t="inlineStr">
        <is>
          <t>fanout_batch</t>
        </is>
      </c>
      <c r="G189" t="inlineStr">
        <is>
          <t>retarget</t>
        </is>
      </c>
      <c r="H189" t="inlineStr">
        <is>
          <t>seed_qualified_health_data_engineer</t>
        </is>
      </c>
      <c r="I189" t="inlineStr">
        <is>
          <t>Qualified Health Data Engineer</t>
        </is>
      </c>
      <c r="J189"/>
      <c r="K189"/>
      <c r="L189"/>
      <c r="M189"/>
      <c r="N189">
        <v>93.4</v>
      </c>
      <c r="O189" t="inlineStr">
        <is>
          <t>pass</t>
        </is>
      </c>
      <c r="P189">
        <f>HYPERLINK("file:///Users/jingyizhang/Documents/Playground/projects/local_job_resume_pipeline/data/deliverables/resume_portfolio/by_company/kikoff/2026-04-06/69d38de9cfdc6132f9451c7d/resume.md","/Users/jingyizhang/Documents/Playground/projects/local_job_resume_pipeline/data/deliverables/resume_portfolio/by_company/kikoff/2026-04-06/69d38de9cfdc6132f9451c7d/resume.md")</f>
      </c>
      <c r="Q189"/>
      <c r="R189">
        <f>HYPERLINK("https://boards.greenhouse.io/embed/job_app?token=4157501009&amp;utm_source=jobright","https://boards.greenhouse.io/embed/job_app?token=4157501009&amp;utm_source=jobright")</f>
      </c>
    </row>
    <row r="190">
      <c r="A190" t="inlineStr">
        <is>
          <t>MaintainX</t>
        </is>
      </c>
      <c r="B190" t="inlineStr">
        <is>
          <t>2026-04-06 05:28:37</t>
        </is>
      </c>
      <c r="C190" t="inlineStr">
        <is>
          <t>69a61db70da45516f16f0207</t>
        </is>
      </c>
      <c r="D190" t="inlineStr">
        <is>
          <t>Integration Developer</t>
        </is>
      </c>
      <c r="E190" t="inlineStr">
        <is>
          <t>1_Discovered</t>
        </is>
      </c>
      <c r="F190" t="inlineStr">
        <is>
          <t>fanout_batch</t>
        </is>
      </c>
      <c r="G190" t="inlineStr">
        <is>
          <t>reuse</t>
        </is>
      </c>
      <c r="H190" t="inlineStr">
        <is>
          <t>seed_microsoft_polyglot_generalist</t>
        </is>
      </c>
      <c r="I190" t="inlineStr">
        <is>
          <t>Microsoft Polyglot Generalist</t>
        </is>
      </c>
      <c r="J190"/>
      <c r="K190"/>
      <c r="L190"/>
      <c r="M190"/>
      <c r="N190"/>
      <c r="O190"/>
      <c r="P190"/>
      <c r="Q190"/>
      <c r="R190">
        <f>HYPERLINK("https://boards.greenhouse.io/embed/job_app?token=5066968007&amp;utm_source=jobright","https://boards.greenhouse.io/embed/job_app?token=5066968007&amp;utm_source=jobright")</f>
      </c>
    </row>
    <row r="191">
      <c r="A191" t="inlineStr">
        <is>
          <t>Viant Technology</t>
        </is>
      </c>
      <c r="B191" t="inlineStr">
        <is>
          <t>2026-04-06 05:20:39</t>
        </is>
      </c>
      <c r="C191" t="inlineStr">
        <is>
          <t>690e401dd046ab6061cfbaca</t>
        </is>
      </c>
      <c r="D191" t="inlineStr">
        <is>
          <t>Sr. Full Stack Engineer</t>
        </is>
      </c>
      <c r="E191" t="inlineStr">
        <is>
          <t>1_Discovered</t>
        </is>
      </c>
      <c r="F191" t="inlineStr">
        <is>
          <t>fanout_batch</t>
        </is>
      </c>
      <c r="G191" t="inlineStr">
        <is>
          <t>retarget</t>
        </is>
      </c>
      <c r="H191" t="inlineStr">
        <is>
          <t>seed_generalist_dotnet_enterprise</t>
        </is>
      </c>
      <c r="I191" t="inlineStr">
        <is>
          <t>Generalist DotNet Enterprise</t>
        </is>
      </c>
      <c r="J191"/>
      <c r="K191"/>
      <c r="L191"/>
      <c r="M191"/>
      <c r="N191">
        <v>94.6</v>
      </c>
      <c r="O191" t="inlineStr">
        <is>
          <t>pass</t>
        </is>
      </c>
      <c r="P191">
        <f>HYPERLINK("file:///Users/jingyizhang/Documents/Playground/projects/local_job_resume_pipeline/data/deliverables/resume_portfolio/by_company/viant-technology/2026-04-06/690e401dd046ab6061cfbaca/resume.md","/Users/jingyizhang/Documents/Playground/projects/local_job_resume_pipeline/data/deliverables/resume_portfolio/by_company/viant-technology/2026-04-06/690e401dd046ab6061cfbaca/resume.md")</f>
      </c>
      <c r="Q191"/>
      <c r="R191">
        <f>HYPERLINK("https://www.linkedin.com/jobs/view/4321148700","https://www.linkedin.com/jobs/view/4321148700")</f>
      </c>
    </row>
    <row r="192">
      <c r="A192" t="inlineStr">
        <is>
          <t>JPMorganChase</t>
        </is>
      </c>
      <c r="B192" t="inlineStr">
        <is>
          <t>2026-04-06 05:09:54</t>
        </is>
      </c>
      <c r="C192" t="inlineStr">
        <is>
          <t>69c8a0afb773006330b804f6</t>
        </is>
      </c>
      <c r="D192" t="inlineStr">
        <is>
          <t>Business Modeling - Applied AI ML Senior Associate</t>
        </is>
      </c>
      <c r="E192" t="inlineStr">
        <is>
          <t>1_Discovered</t>
        </is>
      </c>
      <c r="F192" t="inlineStr">
        <is>
          <t>fanout_batch</t>
        </is>
      </c>
      <c r="G192" t="inlineStr">
        <is>
          <t>reuse</t>
        </is>
      </c>
      <c r="H192" t="inlineStr">
        <is>
          <t>seed_jpmc_data_mlops_anchor</t>
        </is>
      </c>
      <c r="I192" t="inlineStr">
        <is>
          <t>JPMorganChase Data Platform/MLOps Anchor</t>
        </is>
      </c>
      <c r="J192" t="inlineStr">
        <is>
          <t>jpmc_data_mlops_mainline</t>
        </is>
      </c>
      <c r="K192" t="inlineStr">
        <is>
          <t>mainline</t>
        </is>
      </c>
      <c r="L192"/>
      <c r="M192"/>
      <c r="N192"/>
      <c r="O192"/>
      <c r="P192"/>
      <c r="Q192"/>
      <c r="R192">
        <f>HYPERLINK("https://JPMorganChase.contacthr.com/151624671","https://JPMorganChase.contacthr.com/151624671")</f>
      </c>
    </row>
    <row r="193">
      <c r="A193" t="inlineStr">
        <is>
          <t>TikTok</t>
        </is>
      </c>
      <c r="B193" t="inlineStr">
        <is>
          <t>2026-04-06 05:09:32</t>
        </is>
      </c>
      <c r="C193" t="inlineStr">
        <is>
          <t>68d4fb2fe678d65ec7d8a471</t>
        </is>
      </c>
      <c r="D193" t="inlineStr">
        <is>
          <t>Machine Learning Engineer Graduate (CV/NLP/Multimodal LLM, TikTok Trust and Safety) - 2026 Start (BS/MS)</t>
        </is>
      </c>
      <c r="E193" t="inlineStr">
        <is>
          <t>1_Discovered</t>
        </is>
      </c>
      <c r="F193" t="inlineStr">
        <is>
          <t>fanout_batch</t>
        </is>
      </c>
      <c r="G193" t="inlineStr">
        <is>
          <t>reuse</t>
        </is>
      </c>
      <c r="H193" t="inlineStr">
        <is>
          <t>seed_bytedance_ml_grad</t>
        </is>
      </c>
      <c r="I193" t="inlineStr">
        <is>
          <t>ByteDance ML Grad</t>
        </is>
      </c>
      <c r="J193"/>
      <c r="K193"/>
      <c r="L193"/>
      <c r="M193"/>
      <c r="N193"/>
      <c r="O193"/>
      <c r="P193"/>
      <c r="Q193"/>
      <c r="R193">
        <f>HYPERLINK("https://lifeattiktok.com/search/7517099008936397064?spread=5MWH5CQ","https://lifeattiktok.com/search/7517099008936397064?spread=5MWH5CQ")</f>
      </c>
    </row>
    <row r="194">
      <c r="A194" t="inlineStr">
        <is>
          <t>Clearwater Analytics</t>
        </is>
      </c>
      <c r="B194" t="inlineStr">
        <is>
          <t>2026-04-06 04:39:10</t>
        </is>
      </c>
      <c r="C194" t="inlineStr">
        <is>
          <t>696173cfe7ed9a5731ba3aab</t>
        </is>
      </c>
      <c r="D194" t="inlineStr">
        <is>
          <t>Software Development Engineer (Energy &amp; Commodities)</t>
        </is>
      </c>
      <c r="E194" t="inlineStr">
        <is>
          <t>1_Discovered</t>
        </is>
      </c>
      <c r="F194" t="inlineStr">
        <is>
          <t>fanout_batch</t>
        </is>
      </c>
      <c r="G194" t="inlineStr">
        <is>
          <t>reuse</t>
        </is>
      </c>
      <c r="H194" t="inlineStr">
        <is>
          <t>seed_magnite_sdet</t>
        </is>
      </c>
      <c r="I194" t="inlineStr">
        <is>
          <t>Magnite SDET</t>
        </is>
      </c>
      <c r="J194"/>
      <c r="K194"/>
      <c r="L194"/>
      <c r="M194"/>
      <c r="N194"/>
      <c r="O194"/>
      <c r="P194"/>
      <c r="Q194"/>
      <c r="R194">
        <f>HYPERLINK("https://clearwateranalytics.wd1.myworkdayjobs.com/Clearwater_Analytics_Careers/job/Office---New-York/Software-Development-Engineer--Energy---Commodities-_R10856?source=LinkedIn","https://clearwateranalytics.wd1.myworkdayjobs.com/Clearwater_Analytics_Careers/job/Office---New-York/Software-Development-Engineer--Energy---Commodities-_R10856?source=LinkedIn")</f>
      </c>
    </row>
    <row r="195">
      <c r="A195" t="inlineStr">
        <is>
          <t>Adobe</t>
        </is>
      </c>
      <c r="B195" t="inlineStr">
        <is>
          <t>2026-04-06 04:28:27</t>
        </is>
      </c>
      <c r="C195" t="inlineStr">
        <is>
          <t>690bd915221b890c277f90de</t>
        </is>
      </c>
      <c r="D195" t="inlineStr">
        <is>
          <t>Software Development Engineer</t>
        </is>
      </c>
      <c r="E195" t="inlineStr">
        <is>
          <t>1_Discovered</t>
        </is>
      </c>
      <c r="F195" t="inlineStr">
        <is>
          <t>fanout_batch</t>
        </is>
      </c>
      <c r="G195" t="inlineStr">
        <is>
          <t>retarget</t>
        </is>
      </c>
      <c r="H195" t="inlineStr">
        <is>
          <t>seed_itential_generalist_algorithms</t>
        </is>
      </c>
      <c r="I195" t="inlineStr">
        <is>
          <t>Itential Generalist Algorithms</t>
        </is>
      </c>
      <c r="J195"/>
      <c r="K195"/>
      <c r="L195"/>
      <c r="M195"/>
      <c r="N195">
        <v>94.5</v>
      </c>
      <c r="O195" t="inlineStr">
        <is>
          <t>pass</t>
        </is>
      </c>
      <c r="P195">
        <f>HYPERLINK("file:///Users/jingyizhang/Documents/Playground/projects/local_job_resume_pipeline/data/deliverables/resume_portfolio/by_company/adobe/2026-04-06/690bd915221b890c277f90de/resume.md","/Users/jingyizhang/Documents/Playground/projects/local_job_resume_pipeline/data/deliverables/resume_portfolio/by_company/adobe/2026-04-06/690bd915221b890c277f90de/resume.md")</f>
      </c>
      <c r="Q195"/>
      <c r="R195">
        <f>HYPERLINK("https://careers.adobe.com/us/en/job/ADOBUSR161750EXTERNALENUS/Software-Development-Engineer?utm_source=linkedin&amp;utm_medium=phenom-feeds&amp;source=LinkedIn","https://careers.adobe.com/us/en/job/ADOBUSR161750EXTERNALENUS/Software-Development-Engineer?utm_source=linkedin&amp;utm_medium=phenom-feeds&amp;source=LinkedIn")</f>
      </c>
    </row>
    <row r="196">
      <c r="A196" t="inlineStr">
        <is>
          <t>Uber</t>
        </is>
      </c>
      <c r="B196" t="inlineStr">
        <is>
          <t>2026-04-06 03:55:53</t>
        </is>
      </c>
      <c r="C196" t="inlineStr">
        <is>
          <t>69d3751954f00230c6d27f20</t>
        </is>
      </c>
      <c r="D196" t="inlineStr">
        <is>
          <t>Graduate 2026 Software Engineer I, US</t>
        </is>
      </c>
      <c r="E196" t="inlineStr">
        <is>
          <t>1_Discovered</t>
        </is>
      </c>
      <c r="F196" t="inlineStr">
        <is>
          <t>fanout_batch</t>
        </is>
      </c>
      <c r="G196" t="inlineStr">
        <is>
          <t>retarget</t>
        </is>
      </c>
      <c r="H196" t="inlineStr">
        <is>
          <t>seed_google_cloud_infra_anchor_candidate</t>
        </is>
      </c>
      <c r="I196" t="inlineStr">
        <is>
          <t>Google Cloud Infra Anchor</t>
        </is>
      </c>
      <c r="J196" t="inlineStr">
        <is>
          <t>google_cloud_infra_mainline</t>
        </is>
      </c>
      <c r="K196" t="inlineStr">
        <is>
          <t>mainline</t>
        </is>
      </c>
      <c r="L196"/>
      <c r="M196"/>
      <c r="N196">
        <v>94.1</v>
      </c>
      <c r="O196" t="inlineStr">
        <is>
          <t>pass</t>
        </is>
      </c>
      <c r="P196">
        <f>HYPERLINK("file:///Users/jingyizhang/Documents/Playground/projects/local_job_resume_pipeline/data/deliverables/resume_portfolio/by_company/uber/2026-04-06/69d3751954f00230c6d27f20/resume.md","/Users/jingyizhang/Documents/Playground/projects/local_job_resume_pipeline/data/deliverables/resume_portfolio/by_company/uber/2026-04-06/69d3751954f00230c6d27f20/resume.md")</f>
      </c>
      <c r="Q196"/>
      <c r="R196">
        <f>HYPERLINK("https://university-uber.icims.com/jobs/158009/graduate-2026-software-engineer-i%2c-us/job?in_iframe=1","https://university-uber.icims.com/jobs/158009/graduate-2026-software-engineer-i%2c-us/job?in_iframe=1")</f>
      </c>
    </row>
    <row r="197">
      <c r="A197" t="inlineStr">
        <is>
          <t>Sigma</t>
        </is>
      </c>
      <c r="B197" t="inlineStr">
        <is>
          <t>2026-04-06 03:08:07</t>
        </is>
      </c>
      <c r="C197" t="inlineStr">
        <is>
          <t>69d369e7891d7b11cfcf0df4</t>
        </is>
      </c>
      <c r="D197" t="inlineStr">
        <is>
          <t>Senior Software Engineer - Backend</t>
        </is>
      </c>
      <c r="E197" t="inlineStr">
        <is>
          <t>1_Discovered</t>
        </is>
      </c>
      <c r="F197" t="inlineStr">
        <is>
          <t>fanout_batch</t>
        </is>
      </c>
      <c r="G197" t="inlineStr">
        <is>
          <t>reuse</t>
        </is>
      </c>
      <c r="H197" t="inlineStr">
        <is>
          <t>seed_cisco_backend_api</t>
        </is>
      </c>
      <c r="I197" t="inlineStr">
        <is>
          <t>Cisco Backend API</t>
        </is>
      </c>
      <c r="J197"/>
      <c r="K197"/>
      <c r="L197"/>
      <c r="M197"/>
      <c r="N197"/>
      <c r="O197"/>
      <c r="P197"/>
      <c r="Q197"/>
      <c r="R197">
        <f>HYPERLINK("https://boards.greenhouse.io/embed/job_app?token=7690390003&amp;utm_source=jobright","https://boards.greenhouse.io/embed/job_app?token=7690390003&amp;utm_source=jobright")</f>
      </c>
    </row>
    <row r="198">
      <c r="A198" t="inlineStr">
        <is>
          <t>TakedaPharmaceutical Nordics AB</t>
        </is>
      </c>
      <c r="B198" t="inlineStr">
        <is>
          <t>2026-04-06 02:12:58</t>
        </is>
      </c>
      <c r="C198" t="inlineStr">
        <is>
          <t>69d35cfa891d7b11cfcf07b1</t>
        </is>
      </c>
      <c r="D198" t="inlineStr">
        <is>
          <t>Senior Data Scientist</t>
        </is>
      </c>
      <c r="E198" t="inlineStr">
        <is>
          <t>1_Discovered</t>
        </is>
      </c>
      <c r="F198" t="inlineStr">
        <is>
          <t>fanout_batch</t>
        </is>
      </c>
      <c r="G198" t="inlineStr">
        <is>
          <t>retarget</t>
        </is>
      </c>
      <c r="H198" t="inlineStr">
        <is>
          <t>seed_jpmc_data_mlops_anchor</t>
        </is>
      </c>
      <c r="I198" t="inlineStr">
        <is>
          <t>JPMorganChase Data Platform/MLOps Anchor</t>
        </is>
      </c>
      <c r="J198" t="inlineStr">
        <is>
          <t>jpmc_data_mlops_mainline</t>
        </is>
      </c>
      <c r="K198" t="inlineStr">
        <is>
          <t>mainline</t>
        </is>
      </c>
      <c r="L198"/>
      <c r="M198"/>
      <c r="N198">
        <v>95.2</v>
      </c>
      <c r="O198" t="inlineStr">
        <is>
          <t>pass</t>
        </is>
      </c>
      <c r="P198">
        <f>HYPERLINK("file:///Users/jingyizhang/Documents/Playground/projects/local_job_resume_pipeline/data/deliverables/resume_portfolio/by_company/takedapharmaceutical-nordics-ab/2026-04-06/69d35cfa891d7b11cfcf07b1/resume.md","/Users/jingyizhang/Documents/Playground/projects/local_job_resume_pipeline/data/deliverables/resume_portfolio/by_company/takedapharmaceutical-nordics-ab/2026-04-06/69d35cfa891d7b11cfcf07b1/resume.md")</f>
      </c>
      <c r="Q198"/>
      <c r="R198">
        <f>HYPERLINK("https://linkedin.sonicapply.com/us/linkedin/69d32356d524fbaeac116cc4","https://linkedin.sonicapply.com/us/linkedin/69d32356d524fbaeac116cc4")</f>
      </c>
    </row>
    <row r="199">
      <c r="A199" t="inlineStr">
        <is>
          <t>GHX</t>
        </is>
      </c>
      <c r="B199" t="inlineStr">
        <is>
          <t>2026-04-06 02:12:39</t>
        </is>
      </c>
      <c r="C199" t="inlineStr">
        <is>
          <t>69d35ce7366bb95ba5533b18</t>
        </is>
      </c>
      <c r="D199" t="inlineStr">
        <is>
          <t>Technical Data Analyst III</t>
        </is>
      </c>
      <c r="E199" t="inlineStr">
        <is>
          <t>1_Discovered</t>
        </is>
      </c>
      <c r="F199" t="inlineStr">
        <is>
          <t>fanout_batch</t>
        </is>
      </c>
      <c r="G199" t="inlineStr">
        <is>
          <t>retarget</t>
        </is>
      </c>
      <c r="H199" t="inlineStr">
        <is>
          <t>seed_qualified_health_data_engineer</t>
        </is>
      </c>
      <c r="I199" t="inlineStr">
        <is>
          <t>Qualified Health Data Engineer</t>
        </is>
      </c>
      <c r="J199"/>
      <c r="K199"/>
      <c r="L199"/>
      <c r="M199"/>
      <c r="N199">
        <v>94.9</v>
      </c>
      <c r="O199" t="inlineStr">
        <is>
          <t>pass</t>
        </is>
      </c>
      <c r="P199">
        <f>HYPERLINK("file:///Users/jingyizhang/Documents/Playground/projects/local_job_resume_pipeline/data/deliverables/resume_portfolio/by_company/ghx/2026-04-06/69d35ce7366bb95ba5533b18/resume.md","/Users/jingyizhang/Documents/Playground/projects/local_job_resume_pipeline/data/deliverables/resume_portfolio/by_company/ghx/2026-04-06/69d35ce7366bb95ba5533b18/resume.md")</f>
      </c>
      <c r="Q199"/>
      <c r="R199">
        <f>HYPERLINK("https://boards.greenhouse.io/embed/job_app?token=4675115005&amp;utm_source=jobright","https://boards.greenhouse.io/embed/job_app?token=4675115005&amp;utm_source=jobright")</f>
      </c>
    </row>
    <row r="200">
      <c r="A200" t="inlineStr">
        <is>
          <t>GAP Solutions, Inc.</t>
        </is>
      </c>
      <c r="B200" t="inlineStr">
        <is>
          <t>2026-04-06 01:49:25</t>
        </is>
      </c>
      <c r="C200" t="inlineStr">
        <is>
          <t>69d35775891d7b11cfcf06bd</t>
        </is>
      </c>
      <c r="D200" t="inlineStr">
        <is>
          <t>Digital Health And Behavior Data Scientist (50697)</t>
        </is>
      </c>
      <c r="E200" t="inlineStr">
        <is>
          <t>1_Discovered</t>
        </is>
      </c>
      <c r="F200" t="inlineStr">
        <is>
          <t>fanout_batch</t>
        </is>
      </c>
      <c r="G200" t="inlineStr">
        <is>
          <t>retarget</t>
        </is>
      </c>
      <c r="H200" t="inlineStr">
        <is>
          <t>seed_linkedin_mle_foundation</t>
        </is>
      </c>
      <c r="I200" t="inlineStr">
        <is>
          <t>LinkedIn MLE Foundation</t>
        </is>
      </c>
      <c r="J200"/>
      <c r="K200"/>
      <c r="L200"/>
      <c r="M200"/>
      <c r="N200">
        <v>97.0</v>
      </c>
      <c r="O200" t="inlineStr">
        <is>
          <t>pass</t>
        </is>
      </c>
      <c r="P200">
        <f>HYPERLINK("file:///Users/jingyizhang/Documents/Playground/projects/local_job_resume_pipeline/data/deliverables/resume_portfolio/by_company/gap-solutions-inc/2026-04-06/69d35775891d7b11cfcf06bd/resume.md","/Users/jingyizhang/Documents/Playground/projects/local_job_resume_pipeline/data/deliverables/resume_portfolio/by_company/gap-solutions-inc/2026-04-06/69d35775891d7b11cfcf06bd/resume.md")</f>
      </c>
      <c r="Q200"/>
      <c r="R200">
        <f>HYPERLINK("https://www.paycomonline.net/v4/ats/web.php/portal/96F58D060DBB8E87FFE6A206A755DC72/jobs/305940","https://www.paycomonline.net/v4/ats/web.php/portal/96F58D060DBB8E87FFE6A206A755DC72/jobs/305940")</f>
      </c>
    </row>
    <row r="201">
      <c r="A201" t="inlineStr">
        <is>
          <t>Stripe</t>
        </is>
      </c>
      <c r="B201" t="inlineStr">
        <is>
          <t>2026-04-06 01:21:40</t>
        </is>
      </c>
      <c r="C201" t="inlineStr">
        <is>
          <t>695c0fd1aa05c26e7ab560a9</t>
        </is>
      </c>
      <c r="D201" t="inlineStr">
        <is>
          <t>Backend Engineer, Core Technology</t>
        </is>
      </c>
      <c r="E201" t="inlineStr">
        <is>
          <t>1_Discovered</t>
        </is>
      </c>
      <c r="F201" t="inlineStr">
        <is>
          <t>fanout_batch</t>
        </is>
      </c>
      <c r="G201" t="inlineStr">
        <is>
          <t>retarget</t>
        </is>
      </c>
      <c r="H201" t="inlineStr">
        <is>
          <t>seed_google_cloud_infra_anchor_candidate</t>
        </is>
      </c>
      <c r="I201" t="inlineStr">
        <is>
          <t>Google Cloud Infra Anchor</t>
        </is>
      </c>
      <c r="J201" t="inlineStr">
        <is>
          <t>google_cloud_infra_mainline</t>
        </is>
      </c>
      <c r="K201" t="inlineStr">
        <is>
          <t>mainline</t>
        </is>
      </c>
      <c r="L201"/>
      <c r="M201"/>
      <c r="N201">
        <v>95.0</v>
      </c>
      <c r="O201" t="inlineStr">
        <is>
          <t>pass</t>
        </is>
      </c>
      <c r="P201">
        <f>HYPERLINK("file:///Users/jingyizhang/Documents/Playground/projects/local_job_resume_pipeline/data/deliverables/resume_portfolio/by_company/stripe/2026-04-06/695c0fd1aa05c26e7ab560a9/resume.md","/Users/jingyizhang/Documents/Playground/projects/local_job_resume_pipeline/data/deliverables/resume_portfolio/by_company/stripe/2026-04-06/695c0fd1aa05c26e7ab560a9/resume.md")</f>
      </c>
      <c r="Q201"/>
      <c r="R201">
        <f>HYPERLINK("https://boards.greenhouse.io/embed/job_app?token=6042172&amp;utm_source=jobright","https://boards.greenhouse.io/embed/job_app?token=6042172&amp;utm_source=jobright")</f>
      </c>
    </row>
    <row r="202">
      <c r="A202" t="inlineStr">
        <is>
          <t>Canonical</t>
        </is>
      </c>
      <c r="B202" t="inlineStr">
        <is>
          <t>2026-04-06 00:18:22</t>
        </is>
      </c>
      <c r="C202" t="inlineStr">
        <is>
          <t>69d3421ecfdc6132f944f702</t>
        </is>
      </c>
      <c r="D202" t="inlineStr">
        <is>
          <t>Software Engineer - Cloud Images</t>
        </is>
      </c>
      <c r="E202" t="inlineStr">
        <is>
          <t>1_Discovered</t>
        </is>
      </c>
      <c r="F202" t="inlineStr">
        <is>
          <t>fanout_batch</t>
        </is>
      </c>
      <c r="G202" t="inlineStr">
        <is>
          <t>reuse</t>
        </is>
      </c>
      <c r="H202" t="inlineStr">
        <is>
          <t>seed_fireblocks_sre_anchor</t>
        </is>
      </c>
      <c r="I202" t="inlineStr">
        <is>
          <t>Fireblocks SRE Anchor</t>
        </is>
      </c>
      <c r="J202"/>
      <c r="K202"/>
      <c r="L202"/>
      <c r="M202"/>
      <c r="N202"/>
      <c r="O202"/>
      <c r="P202"/>
      <c r="Q202"/>
      <c r="R202">
        <f>HYPERLINK("https://boards.greenhouse.io/embed/job_app?token=7614798&amp;utm_source=jobright","https://boards.greenhouse.io/embed/job_app?token=7614798&amp;utm_source=jobright")</f>
      </c>
    </row>
    <row r="203">
      <c r="A203" t="inlineStr">
        <is>
          <t>Raise Robotics</t>
        </is>
      </c>
      <c r="B203" t="inlineStr">
        <is>
          <t>2026-04-05 23:25:49</t>
        </is>
      </c>
      <c r="C203" t="inlineStr">
        <is>
          <t>69d335cdcfdc6132f944ebe5</t>
        </is>
      </c>
      <c r="D203" t="inlineStr">
        <is>
          <t>Senior Software Engineer</t>
        </is>
      </c>
      <c r="E203" t="inlineStr">
        <is>
          <t>1_Discovered</t>
        </is>
      </c>
      <c r="F203" t="inlineStr">
        <is>
          <t>fanout_batch</t>
        </is>
      </c>
      <c r="G203" t="inlineStr">
        <is>
          <t>retarget</t>
        </is>
      </c>
      <c r="H203" t="inlineStr">
        <is>
          <t>seed_aws_support_backend_anchor</t>
        </is>
      </c>
      <c r="I203" t="inlineStr">
        <is>
          <t>AWS Support Backend Anchor</t>
        </is>
      </c>
      <c r="J203"/>
      <c r="K203"/>
      <c r="L203"/>
      <c r="M203"/>
      <c r="N203">
        <v>94.0</v>
      </c>
      <c r="O203" t="inlineStr">
        <is>
          <t>pass</t>
        </is>
      </c>
      <c r="P203">
        <f>HYPERLINK("file:///Users/jingyizhang/Documents/Playground/projects/local_job_resume_pipeline/data/deliverables/resume_portfolio/by_company/raise-robotics/2026-04-05/69d335cdcfdc6132f944ebe5/resume.md","/Users/jingyizhang/Documents/Playground/projects/local_job_resume_pipeline/data/deliverables/resume_portfolio/by_company/raise-robotics/2026-04-05/69d335cdcfdc6132f944ebe5/resume.md")</f>
      </c>
      <c r="Q203"/>
      <c r="R203">
        <f>HYPERLINK("https://www.linkedin.com/jobs/view/4394426534","https://www.linkedin.com/jobs/view/4394426534")</f>
      </c>
    </row>
    <row r="204">
      <c r="A204" t="inlineStr">
        <is>
          <t>GEI Consultants, Inc.</t>
        </is>
      </c>
      <c r="B204" t="inlineStr">
        <is>
          <t>2026-04-05 22:30:47</t>
        </is>
      </c>
      <c r="C204" t="inlineStr">
        <is>
          <t>69d328e7366bb95ba55314c9</t>
        </is>
      </c>
      <c r="D204" t="inlineStr">
        <is>
          <t>Full Stack Engineer</t>
        </is>
      </c>
      <c r="E204" t="inlineStr">
        <is>
          <t>1_Discovered</t>
        </is>
      </c>
      <c r="F204" t="inlineStr">
        <is>
          <t>fanout_batch</t>
        </is>
      </c>
      <c r="G204" t="inlineStr">
        <is>
          <t>retarget</t>
        </is>
      </c>
      <c r="H204" t="inlineStr">
        <is>
          <t>seed_egen_fullstack_node</t>
        </is>
      </c>
      <c r="I204" t="inlineStr">
        <is>
          <t>Egen Fullstack Node</t>
        </is>
      </c>
      <c r="J204"/>
      <c r="K204"/>
      <c r="L204"/>
      <c r="M204"/>
      <c r="N204">
        <v>95.3</v>
      </c>
      <c r="O204" t="inlineStr">
        <is>
          <t>pass</t>
        </is>
      </c>
      <c r="P204">
        <f>HYPERLINK("file:///Users/jingyizhang/Documents/Playground/projects/local_job_resume_pipeline/data/deliverables/resume_portfolio/by_company/gei-consultants-inc/2026-04-05/69d328e7366bb95ba55314c9/resume.md","/Users/jingyizhang/Documents/Playground/projects/local_job_resume_pipeline/data/deliverables/resume_portfolio/by_company/gei-consultants-inc/2026-04-05/69d328e7366bb95ba55314c9/resume.md")</f>
      </c>
      <c r="Q204"/>
      <c r="R204">
        <f>HYPERLINK("https://jointeamgei.geiconsultants.com/jobs/17170855-full-stack-engineer?tm_job=856163-OTHLOC-CyCxYfwp&amp;tm_event=view&amp;tm_company=90289&amp;bid=56","https://jointeamgei.geiconsultants.com/jobs/17170855-full-stack-engineer?tm_job=856163-OTHLOC-CyCxYfwp&amp;tm_event=view&amp;tm_company=90289&amp;bid=56")</f>
      </c>
    </row>
    <row r="205">
      <c r="A205" t="inlineStr">
        <is>
          <t>JPMorganChase</t>
        </is>
      </c>
      <c r="B205" t="inlineStr">
        <is>
          <t>2026-04-05 21:45:00</t>
        </is>
      </c>
      <c r="C205" t="inlineStr">
        <is>
          <t>69d31e2c54f00230c6d24aba</t>
        </is>
      </c>
      <c r="D205" t="inlineStr">
        <is>
          <t>Software Engineer III - DevOps Automation Engineer</t>
        </is>
      </c>
      <c r="E205" t="inlineStr">
        <is>
          <t>1_Discovered</t>
        </is>
      </c>
      <c r="F205" t="inlineStr">
        <is>
          <t>fanout_batch</t>
        </is>
      </c>
      <c r="G205" t="inlineStr">
        <is>
          <t>retarget</t>
        </is>
      </c>
      <c r="H205" t="inlineStr">
        <is>
          <t>seed_fireblocks_sre_anchor</t>
        </is>
      </c>
      <c r="I205" t="inlineStr">
        <is>
          <t>Fireblocks SRE Anchor</t>
        </is>
      </c>
      <c r="J205"/>
      <c r="K205"/>
      <c r="L205"/>
      <c r="M205"/>
      <c r="N205">
        <v>95.0</v>
      </c>
      <c r="O205" t="inlineStr">
        <is>
          <t>pass</t>
        </is>
      </c>
      <c r="P205">
        <f>HYPERLINK("file:///Users/jingyizhang/Documents/Playground/projects/local_job_resume_pipeline/data/deliverables/resume_portfolio/by_company/jpmorganchase/2026-04-05/69d31e2c54f00230c6d24aba/resume.md","/Users/jingyizhang/Documents/Playground/projects/local_job_resume_pipeline/data/deliverables/resume_portfolio/by_company/jpmorganchase/2026-04-05/69d31e2c54f00230c6d24aba/resume.md")</f>
      </c>
      <c r="Q205"/>
      <c r="R205">
        <f>HYPERLINK("https://jpmc.fa.oraclecloud.com/hcmUI/CandidateExperience/en/sites/CX_1001/job/210731985","https://jpmc.fa.oraclecloud.com/hcmUI/CandidateExperience/en/sites/CX_1001/job/210731985")</f>
      </c>
    </row>
    <row r="206">
      <c r="A206" t="inlineStr">
        <is>
          <t>Dime Line Trading</t>
        </is>
      </c>
      <c r="B206" t="inlineStr">
        <is>
          <t>2026-04-05 21:25:24</t>
        </is>
      </c>
      <c r="C206" t="inlineStr">
        <is>
          <t>68358848fa8a32692d93e53e</t>
        </is>
      </c>
      <c r="D206" t="inlineStr">
        <is>
          <t>Always Recruiting For</t>
        </is>
      </c>
      <c r="E206" t="inlineStr">
        <is>
          <t>1_Discovered</t>
        </is>
      </c>
      <c r="F206" t="inlineStr">
        <is>
          <t>fanout_batch</t>
        </is>
      </c>
      <c r="G206" t="inlineStr">
        <is>
          <t>reuse</t>
        </is>
      </c>
      <c r="H206" t="inlineStr">
        <is>
          <t>seed_paypal_java_backend</t>
        </is>
      </c>
      <c r="I206" t="inlineStr">
        <is>
          <t>PayPal Java Backend</t>
        </is>
      </c>
      <c r="J206"/>
      <c r="K206"/>
      <c r="L206"/>
      <c r="M206"/>
      <c r="N206"/>
      <c r="O206"/>
      <c r="P206"/>
      <c r="Q206"/>
      <c r="R206">
        <f>HYPERLINK("https://boards.greenhouse.io/embed/job_app?token=6236633003&amp;utm_source=jobright","https://boards.greenhouse.io/embed/job_app?token=6236633003&amp;utm_source=jobright")</f>
      </c>
    </row>
    <row r="207">
      <c r="A207" t="inlineStr">
        <is>
          <t>Tatari</t>
        </is>
      </c>
      <c r="B207" t="inlineStr">
        <is>
          <t>2026-04-05 15:31:01</t>
        </is>
      </c>
      <c r="C207" t="inlineStr">
        <is>
          <t>6949f94dc6f0e2546ceed1fe</t>
        </is>
      </c>
      <c r="D207" t="inlineStr">
        <is>
          <t>Data Science Analyst</t>
        </is>
      </c>
      <c r="E207" t="inlineStr">
        <is>
          <t>1_Discovered</t>
        </is>
      </c>
      <c r="F207" t="inlineStr">
        <is>
          <t>fanout_batch</t>
        </is>
      </c>
      <c r="G207" t="inlineStr">
        <is>
          <t>reuse</t>
        </is>
      </c>
      <c r="H207" t="inlineStr">
        <is>
          <t>seed_plaid_data_scientist</t>
        </is>
      </c>
      <c r="I207" t="inlineStr">
        <is>
          <t>Plaid Data Scientist</t>
        </is>
      </c>
      <c r="J207"/>
      <c r="K207"/>
      <c r="L207"/>
      <c r="M207"/>
      <c r="N207"/>
      <c r="O207"/>
      <c r="P207"/>
      <c r="Q207"/>
      <c r="R207">
        <f>HYPERLINK("https://boards.greenhouse.io/embed/job_app?token=8350483002&amp;utm_source=jobright","https://boards.greenhouse.io/embed/job_app?token=8350483002&amp;utm_source=jobright")</f>
      </c>
    </row>
    <row r="208">
      <c r="A208" t="inlineStr">
        <is>
          <t>Citadel Securities</t>
        </is>
      </c>
      <c r="B208" t="inlineStr">
        <is>
          <t>2026-04-05 13:58:30</t>
        </is>
      </c>
      <c r="C208" t="inlineStr">
        <is>
          <t>68c649c0c96a22563ececa76</t>
        </is>
      </c>
      <c r="D208" t="inlineStr">
        <is>
          <t>Data Scientist</t>
        </is>
      </c>
      <c r="E208" t="inlineStr">
        <is>
          <t>1_Discovered</t>
        </is>
      </c>
      <c r="F208" t="inlineStr">
        <is>
          <t>fanout_batch</t>
        </is>
      </c>
      <c r="G208" t="inlineStr">
        <is>
          <t>retarget</t>
        </is>
      </c>
      <c r="H208" t="inlineStr">
        <is>
          <t>seed_h2o_ai_engineer</t>
        </is>
      </c>
      <c r="I208" t="inlineStr">
        <is>
          <t>H2O AI Engineer</t>
        </is>
      </c>
      <c r="J208"/>
      <c r="K208"/>
      <c r="L208"/>
      <c r="M208"/>
      <c r="N208">
        <v>92.4</v>
      </c>
      <c r="O208" t="inlineStr">
        <is>
          <t>conditional_pass</t>
        </is>
      </c>
      <c r="P208">
        <f>HYPERLINK("file:///Users/jingyizhang/Documents/Playground/projects/local_job_resume_pipeline/data/deliverables/resume_portfolio/by_company/citadel-securities/2026-04-05/68c649c0c96a22563ececa76/resume.md","/Users/jingyizhang/Documents/Playground/projects/local_job_resume_pipeline/data/deliverables/resume_portfolio/by_company/citadel-securities/2026-04-05/68c649c0c96a22563ececa76/resume.md")</f>
      </c>
      <c r="Q208"/>
      <c r="R208">
        <f>HYPERLINK("https://www.citadelsecurities.com/careers/details/data-scientist/","https://www.citadelsecurities.com/careers/details/data-scientist/")</f>
      </c>
    </row>
    <row r="209">
      <c r="A209" t="inlineStr">
        <is>
          <t>NRC Health</t>
        </is>
      </c>
      <c r="B209" t="inlineStr">
        <is>
          <t>2026-04-05 13:47:39</t>
        </is>
      </c>
      <c r="C209" t="inlineStr">
        <is>
          <t>69b5732c06c1ba00c54743ad</t>
        </is>
      </c>
      <c r="D209" t="inlineStr">
        <is>
          <t>AI Platform Engineer</t>
        </is>
      </c>
      <c r="E209" t="inlineStr">
        <is>
          <t>1_Discovered</t>
        </is>
      </c>
      <c r="F209" t="inlineStr">
        <is>
          <t>fanout_batch</t>
        </is>
      </c>
      <c r="G209" t="inlineStr">
        <is>
          <t>reuse</t>
        </is>
      </c>
      <c r="H209" t="inlineStr">
        <is>
          <t>seed_h2o_ai_engineer</t>
        </is>
      </c>
      <c r="I209" t="inlineStr">
        <is>
          <t>H2O AI Engineer</t>
        </is>
      </c>
      <c r="J209"/>
      <c r="K209"/>
      <c r="L209"/>
      <c r="M209"/>
      <c r="N209"/>
      <c r="O209"/>
      <c r="P209"/>
      <c r="Q209"/>
      <c r="R209">
        <f>HYPERLINK("https://jobs.jobvite.com/nrchealth/job/olINzfw9?__jvst=Job+Board&amp;__jvsd=LinkedIn","https://jobs.jobvite.com/nrchealth/job/olINzfw9?__jvst=Job+Board&amp;__jvsd=LinkedIn")</f>
      </c>
    </row>
    <row r="210">
      <c r="A210" t="inlineStr">
        <is>
          <t>Dime Line Trading</t>
        </is>
      </c>
      <c r="B210" t="inlineStr">
        <is>
          <t>2026-04-05 13:23:07</t>
        </is>
      </c>
      <c r="C210" t="inlineStr">
        <is>
          <t>69ae1295142d5b4265fed2f9</t>
        </is>
      </c>
      <c r="D210" t="inlineStr">
        <is>
          <t>Data Scientist</t>
        </is>
      </c>
      <c r="E210" t="inlineStr">
        <is>
          <t>1_Discovered</t>
        </is>
      </c>
      <c r="F210" t="inlineStr">
        <is>
          <t>fanout_batch</t>
        </is>
      </c>
      <c r="G210" t="inlineStr">
        <is>
          <t>retarget</t>
        </is>
      </c>
      <c r="H210" t="inlineStr">
        <is>
          <t>seed_h2o_ai_engineer</t>
        </is>
      </c>
      <c r="I210" t="inlineStr">
        <is>
          <t>H2O AI Engineer</t>
        </is>
      </c>
      <c r="J210"/>
      <c r="K210"/>
      <c r="L210"/>
      <c r="M210"/>
      <c r="N210">
        <v>96.2</v>
      </c>
      <c r="O210" t="inlineStr">
        <is>
          <t>pass</t>
        </is>
      </c>
      <c r="P210">
        <f>HYPERLINK("file:///Users/jingyizhang/Documents/Playground/projects/local_job_resume_pipeline/data/deliverables/resume_portfolio/by_company/dime-line-trading/2026-04-05/69ae1295142d5b4265fed2f9/resume.md","/Users/jingyizhang/Documents/Playground/projects/local_job_resume_pipeline/data/deliverables/resume_portfolio/by_company/dime-line-trading/2026-04-05/69ae1295142d5b4265fed2f9/resume.md")</f>
      </c>
      <c r="Q210"/>
      <c r="R210">
        <f>HYPERLINK("https://boards.greenhouse.io/embed/job_app?token=7656874003&amp;utm_source=jobright","https://boards.greenhouse.io/embed/job_app?token=7656874003&amp;utm_source=jobright")</f>
      </c>
    </row>
    <row r="211">
      <c r="A211" t="inlineStr">
        <is>
          <t>Metas Solutions</t>
        </is>
      </c>
      <c r="B211" t="inlineStr">
        <is>
          <t>2026-04-05 13:07:44</t>
        </is>
      </c>
      <c r="C211" t="inlineStr">
        <is>
          <t>69d2a4f0891d7b11cfceb69e</t>
        </is>
      </c>
      <c r="D211" t="inlineStr">
        <is>
          <t>Software Developer</t>
        </is>
      </c>
      <c r="E211" t="inlineStr">
        <is>
          <t>1_Discovered</t>
        </is>
      </c>
      <c r="F211" t="inlineStr">
        <is>
          <t>fanout_batch</t>
        </is>
      </c>
      <c r="G211" t="inlineStr">
        <is>
          <t>retarget</t>
        </is>
      </c>
      <c r="H211" t="inlineStr">
        <is>
          <t>seed_generalist_dotnet_enterprise</t>
        </is>
      </c>
      <c r="I211" t="inlineStr">
        <is>
          <t>Generalist DotNet Enterprise</t>
        </is>
      </c>
      <c r="J211"/>
      <c r="K211"/>
      <c r="L211"/>
      <c r="M211"/>
      <c r="N211">
        <v>87.0</v>
      </c>
      <c r="O211" t="inlineStr">
        <is>
          <t>fail</t>
        </is>
      </c>
      <c r="P211">
        <f>HYPERLINK("file:///Users/jingyizhang/Documents/Playground/projects/local_job_resume_pipeline/data/deliverables/resume_portfolio/by_company/metas-solutions/2026-04-05/69d2a4f0891d7b11cfceb69e/resume.md","/Users/jingyizhang/Documents/Playground/projects/local_job_resume_pipeline/data/deliverables/resume_portfolio/by_company/metas-solutions/2026-04-05/69d2a4f0891d7b11cfceb69e/resume.md")</f>
      </c>
      <c r="Q211"/>
      <c r="R211">
        <f>HYPERLINK("https://mwejobs.maryland.gov/vosnet/guest.aspx?action=JOBS&amp;whereto=JOBSEARCH_SERVICE_REDIRECT&amp;ordernum=2167070&amp;zip=&amp;src=VOS&amp;radius=&amp;idnum=2167070&amp;site=","https://mwejobs.maryland.gov/vosnet/guest.aspx?action=JOBS&amp;whereto=JOBSEARCH_SERVICE_REDIRECT&amp;ordernum=2167070&amp;zip=&amp;src=VOS&amp;radius=&amp;idnum=2167070&amp;site=")</f>
      </c>
    </row>
    <row r="212">
      <c r="A212" t="inlineStr">
        <is>
          <t>GitHub</t>
        </is>
      </c>
      <c r="B212" t="inlineStr">
        <is>
          <t>2026-04-05 13:06:56</t>
        </is>
      </c>
      <c r="C212" t="inlineStr">
        <is>
          <t>6999539e81476f6176b1f6b9</t>
        </is>
      </c>
      <c r="D212" t="inlineStr">
        <is>
          <t>Software Engineer II, Identity Core</t>
        </is>
      </c>
      <c r="E212" t="inlineStr">
        <is>
          <t>1_Discovered</t>
        </is>
      </c>
      <c r="F212" t="inlineStr">
        <is>
          <t>fanout_batch</t>
        </is>
      </c>
      <c r="G212" t="inlineStr">
        <is>
          <t>retarget</t>
        </is>
      </c>
      <c r="H212" t="inlineStr">
        <is>
          <t>seed_microsoft_coreai_platform_anchor</t>
        </is>
      </c>
      <c r="I212" t="inlineStr">
        <is>
          <t>Microsoft CoreAI/BIC Platform Anchor</t>
        </is>
      </c>
      <c r="J212"/>
      <c r="K212"/>
      <c r="L212"/>
      <c r="M212"/>
      <c r="N212">
        <v>95.5</v>
      </c>
      <c r="O212" t="inlineStr">
        <is>
          <t>pass</t>
        </is>
      </c>
      <c r="P212">
        <f>HYPERLINK("file:///Users/jingyizhang/Documents/Playground/projects/local_job_resume_pipeline/data/deliverables/resume_portfolio/by_company/github/2026-04-05/6999539e81476f6176b1f6b9/resume.md","/Users/jingyizhang/Documents/Playground/projects/local_job_resume_pipeline/data/deliverables/resume_portfolio/by_company/github/2026-04-05/6999539e81476f6176b1f6b9/resume.md")</f>
      </c>
      <c r="Q212"/>
      <c r="R212">
        <f>HYPERLINK("https://githubinc.jibeapply.com/jobs/5050?lang=en-us&amp;iis=Job+Board&amp;iisn=LinkedIn&amp;lever-source=LinkedinPosting","https://githubinc.jibeapply.com/jobs/5050?lang=en-us&amp;iis=Job+Board&amp;iisn=LinkedIn&amp;lever-source=LinkedinPosting")</f>
      </c>
    </row>
    <row r="213">
      <c r="A213" t="inlineStr">
        <is>
          <t>First Citizens Bank</t>
        </is>
      </c>
      <c r="B213" t="inlineStr">
        <is>
          <t>2026-04-05 13:06:31</t>
        </is>
      </c>
      <c r="C213" t="inlineStr">
        <is>
          <t>697d289a137a051025662730</t>
        </is>
      </c>
      <c r="D213" t="inlineStr">
        <is>
          <t>Senior React Engineer (Remote)</t>
        </is>
      </c>
      <c r="E213" t="inlineStr">
        <is>
          <t>1_Discovered</t>
        </is>
      </c>
      <c r="F213" t="inlineStr">
        <is>
          <t>fanout_batch</t>
        </is>
      </c>
      <c r="G213" t="inlineStr">
        <is>
          <t>retarget</t>
        </is>
      </c>
      <c r="H213" t="inlineStr">
        <is>
          <t>seed_egen_fullstack_node</t>
        </is>
      </c>
      <c r="I213" t="inlineStr">
        <is>
          <t>Egen Fullstack Node</t>
        </is>
      </c>
      <c r="J213"/>
      <c r="K213"/>
      <c r="L213"/>
      <c r="M213"/>
      <c r="N213">
        <v>95.7</v>
      </c>
      <c r="O213" t="inlineStr">
        <is>
          <t>pass</t>
        </is>
      </c>
      <c r="P213">
        <f>HYPERLINK("file:///Users/jingyizhang/Documents/Playground/projects/local_job_resume_pipeline/data/deliverables/resume_portfolio/by_company/first-citizens-bank/2026-04-05/697d289a137a051025662730/resume.md","/Users/jingyizhang/Documents/Playground/projects/local_job_resume_pipeline/data/deliverables/resume_portfolio/by_company/first-citizens-bank/2026-04-05/697d289a137a051025662730/resume.md")</f>
      </c>
      <c r="Q213"/>
      <c r="R213">
        <f>HYPERLINK("https://jobs.firstcitizens.com/jobs/32916?lang=en-us&amp;iis=Social+Media/Job+Boards&amp;iisn=LinkedIn","https://jobs.firstcitizens.com/jobs/32916?lang=en-us&amp;iis=Social+Media/Job+Boards&amp;iisn=LinkedIn")</f>
      </c>
    </row>
    <row r="214">
      <c r="A214" t="inlineStr">
        <is>
          <t>Hippocratic AI</t>
        </is>
      </c>
      <c r="B214" t="inlineStr">
        <is>
          <t>2026-04-05 12:17:58</t>
        </is>
      </c>
      <c r="C214" t="inlineStr">
        <is>
          <t>69ad155d142d5b4265fe379e</t>
        </is>
      </c>
      <c r="D214" t="inlineStr">
        <is>
          <t>AI Engineer</t>
        </is>
      </c>
      <c r="E214" t="inlineStr">
        <is>
          <t>1_Discovered</t>
        </is>
      </c>
      <c r="F214" t="inlineStr">
        <is>
          <t>fanout_batch</t>
        </is>
      </c>
      <c r="G214" t="inlineStr">
        <is>
          <t>retarget</t>
        </is>
      </c>
      <c r="H214" t="inlineStr">
        <is>
          <t>seed_h2o_ai_engineer</t>
        </is>
      </c>
      <c r="I214" t="inlineStr">
        <is>
          <t>H2O AI Engineer</t>
        </is>
      </c>
      <c r="J214"/>
      <c r="K214"/>
      <c r="L214"/>
      <c r="M214"/>
      <c r="N214">
        <v>94.0</v>
      </c>
      <c r="O214" t="inlineStr">
        <is>
          <t>pass</t>
        </is>
      </c>
      <c r="P214">
        <f>HYPERLINK("file:///Users/jingyizhang/Documents/Playground/projects/local_job_resume_pipeline/data/deliverables/resume_portfolio/by_company/hippocratic-ai/2026-04-05/69ad155d142d5b4265fe379e/resume.md","/Users/jingyizhang/Documents/Playground/projects/local_job_resume_pipeline/data/deliverables/resume_portfolio/by_company/hippocratic-ai/2026-04-05/69ad155d142d5b4265fe379e/resume.md")</f>
      </c>
      <c r="Q214"/>
      <c r="R214">
        <f>HYPERLINK("https://jobs.ashbyhq.com/Hippocratic%20AI/e0fcafa9-0797-4d18-9d87-c9857cced283?source=linkedin","https://jobs.ashbyhq.com/Hippocratic%20AI/e0fcafa9-0797-4d18-9d87-c9857cced283?source=linkedin")</f>
      </c>
    </row>
    <row r="215">
      <c r="A215" t="inlineStr">
        <is>
          <t>NeuroPace</t>
        </is>
      </c>
      <c r="B215" t="inlineStr">
        <is>
          <t>2026-04-05 12:12:58</t>
        </is>
      </c>
      <c r="C215" t="inlineStr">
        <is>
          <t>69d2981a0b098b7a6708978f</t>
        </is>
      </c>
      <c r="D215" t="inlineStr">
        <is>
          <t>AI Research Engineer – Generative AI</t>
        </is>
      </c>
      <c r="E215" t="inlineStr">
        <is>
          <t>1_Discovered</t>
        </is>
      </c>
      <c r="F215" t="inlineStr">
        <is>
          <t>fanout_batch</t>
        </is>
      </c>
      <c r="G215" t="inlineStr">
        <is>
          <t>retarget</t>
        </is>
      </c>
      <c r="H215" t="inlineStr">
        <is>
          <t>seed_h2o_ai_engineer</t>
        </is>
      </c>
      <c r="I215" t="inlineStr">
        <is>
          <t>H2O AI Engineer</t>
        </is>
      </c>
      <c r="J215"/>
      <c r="K215"/>
      <c r="L215"/>
      <c r="M215"/>
      <c r="N215">
        <v>95.4</v>
      </c>
      <c r="O215" t="inlineStr">
        <is>
          <t>pass</t>
        </is>
      </c>
      <c r="P215">
        <f>HYPERLINK("file:///Users/jingyizhang/Documents/Playground/projects/local_job_resume_pipeline/data/deliverables/resume_portfolio/by_company/neuropace/2026-04-05/69d2981a0b098b7a6708978f/resume.md","/Users/jingyizhang/Documents/Playground/projects/local_job_resume_pipeline/data/deliverables/resume_portfolio/by_company/neuropace/2026-04-05/69d2981a0b098b7a6708978f/resume.md")</f>
      </c>
      <c r="Q215"/>
      <c r="R215">
        <f>HYPERLINK("https://boards.greenhouse.io/embed/job_app?token=5810851004&amp;utm_source=jobright","https://boards.greenhouse.io/embed/job_app?token=5810851004&amp;utm_source=jobright")</f>
      </c>
    </row>
    <row r="216">
      <c r="A216" t="inlineStr">
        <is>
          <t>IBM</t>
        </is>
      </c>
      <c r="B216" t="inlineStr">
        <is>
          <t>2026-04-05 11:28:59</t>
        </is>
      </c>
      <c r="C216" t="inlineStr">
        <is>
          <t>69d20f73cdb525785fbb7e5b</t>
        </is>
      </c>
      <c r="D216" t="inlineStr">
        <is>
          <t>Data Scientist Co-op 2026 – Advanced Analytics – Financial Services</t>
        </is>
      </c>
      <c r="E216" t="inlineStr">
        <is>
          <t>1_Discovered</t>
        </is>
      </c>
      <c r="F216" t="inlineStr">
        <is>
          <t>fanout_batch</t>
        </is>
      </c>
      <c r="G216" t="inlineStr">
        <is>
          <t>retarget</t>
        </is>
      </c>
      <c r="H216" t="inlineStr">
        <is>
          <t>seed_h2o_ai_engineer</t>
        </is>
      </c>
      <c r="I216" t="inlineStr">
        <is>
          <t>H2O AI Engineer</t>
        </is>
      </c>
      <c r="J216"/>
      <c r="K216"/>
      <c r="L216"/>
      <c r="M216"/>
      <c r="N216">
        <v>93.6</v>
      </c>
      <c r="O216" t="inlineStr">
        <is>
          <t>pass</t>
        </is>
      </c>
      <c r="P216">
        <f>HYPERLINK("file:///Users/jingyizhang/Documents/Playground/projects/local_job_resume_pipeline/data/deliverables/resume_portfolio/by_company/ibm/2026-04-05/69d20f73cdb525785fbb7e5b/resume.md","/Users/jingyizhang/Documents/Playground/projects/local_job_resume_pipeline/data/deliverables/resume_portfolio/by_company/ibm/2026-04-05/69d20f73cdb525785fbb7e5b/resume.md")</f>
      </c>
      <c r="Q216"/>
      <c r="R216">
        <f>HYPERLINK("https://ibmglobal.avature.net/en_US/careers/JobDetail?jobId=96261&amp;src=jobright","https://ibmglobal.avature.net/en_US/careers/JobDetail?jobId=96261&amp;src=jobright")</f>
      </c>
    </row>
    <row r="217">
      <c r="A217" t="inlineStr">
        <is>
          <t>Synechron</t>
        </is>
      </c>
      <c r="B217" t="inlineStr">
        <is>
          <t>2026-04-05 11:13:56</t>
        </is>
      </c>
      <c r="C217" t="inlineStr">
        <is>
          <t>69c56ec4e565c26a7000f91a</t>
        </is>
      </c>
      <c r="D217" t="inlineStr">
        <is>
          <t>Python Fullstack Engineer</t>
        </is>
      </c>
      <c r="E217" t="inlineStr">
        <is>
          <t>1_Discovered</t>
        </is>
      </c>
      <c r="F217" t="inlineStr">
        <is>
          <t>fanout_batch</t>
        </is>
      </c>
      <c r="G217" t="inlineStr">
        <is>
          <t>retarget</t>
        </is>
      </c>
      <c r="H217" t="inlineStr">
        <is>
          <t>seed_cisco_backend_api</t>
        </is>
      </c>
      <c r="I217" t="inlineStr">
        <is>
          <t>Cisco Backend API</t>
        </is>
      </c>
      <c r="J217"/>
      <c r="K217"/>
      <c r="L217"/>
      <c r="M217"/>
      <c r="N217">
        <v>95.7</v>
      </c>
      <c r="O217" t="inlineStr">
        <is>
          <t>pass</t>
        </is>
      </c>
      <c r="P217">
        <f>HYPERLINK("file:///Users/jingyizhang/Documents/Playground/projects/local_job_resume_pipeline/data/deliverables/resume_portfolio/by_company/synechron/2026-04-05/69c56ec4e565c26a7000f91a/resume.md","/Users/jingyizhang/Documents/Playground/projects/local_job_resume_pipeline/data/deliverables/resume_portfolio/by_company/synechron/2026-04-05/69c56ec4e565c26a7000f91a/resume.md")</f>
      </c>
      <c r="Q217"/>
      <c r="R217">
        <f>HYPERLINK("https://www.linkedin.com/jobs/view/4391431023","https://www.linkedin.com/jobs/view/4391431023")</f>
      </c>
    </row>
    <row r="218">
      <c r="A218" t="inlineStr">
        <is>
          <t>Amazon Web Services (AWS)</t>
        </is>
      </c>
      <c r="B218" t="inlineStr">
        <is>
          <t>2026-04-05 11:02:34</t>
        </is>
      </c>
      <c r="C218" t="inlineStr">
        <is>
          <t>697d7837137a051025669af8</t>
        </is>
      </c>
      <c r="D218" t="inlineStr">
        <is>
          <t>Software Development Engineer – Big Data, AWS Elastic MapReduce (EMR)</t>
        </is>
      </c>
      <c r="E218" t="inlineStr">
        <is>
          <t>1_Discovered</t>
        </is>
      </c>
      <c r="F218" t="inlineStr">
        <is>
          <t>fanout_batch</t>
        </is>
      </c>
      <c r="G218" t="inlineStr">
        <is>
          <t>retarget</t>
        </is>
      </c>
      <c r="H218" t="inlineStr">
        <is>
          <t>seed_aws_support_backend_anchor</t>
        </is>
      </c>
      <c r="I218" t="inlineStr">
        <is>
          <t>AWS Support Backend Anchor</t>
        </is>
      </c>
      <c r="J218"/>
      <c r="K218"/>
      <c r="L218"/>
      <c r="M218"/>
      <c r="N218">
        <v>92.4</v>
      </c>
      <c r="O218" t="inlineStr">
        <is>
          <t>conditional_pass</t>
        </is>
      </c>
      <c r="P218">
        <f>HYPERLINK("file:///Users/jingyizhang/Documents/Playground/projects/local_job_resume_pipeline/data/deliverables/resume_portfolio/by_company/amazon-web-services-aws/2026-04-05/697d7837137a051025669af8/resume.md","/Users/jingyizhang/Documents/Playground/projects/local_job_resume_pipeline/data/deliverables/resume_portfolio/by_company/amazon-web-services-aws/2026-04-05/697d7837137a051025669af8/resume.md")</f>
      </c>
      <c r="Q218"/>
      <c r="R218">
        <f>HYPERLINK("https://www.amazon.jobs/jobs/3170459/software-development-engineer--big-data-aws-elastic-mapreduce-emr?cmpid=SPLICX0248M&amp;utm_source=linkedin.com&amp;utm_campaign=cxro&amp;utm_medium=social_media&amp;utm_content=job_posting&amp;ss=paid","https://www.amazon.jobs/jobs/3170459/software-development-engineer--big-data-aws-elastic-mapreduce-emr?cmpid=SPLICX0248M&amp;utm_source=linkedin.com&amp;utm_campaign=cxro&amp;utm_medium=social_media&amp;utm_content=job_posting&amp;ss=paid")</f>
      </c>
    </row>
    <row r="219">
      <c r="A219" t="inlineStr">
        <is>
          <t>Whatnot</t>
        </is>
      </c>
      <c r="B219" t="inlineStr">
        <is>
          <t>2026-04-05 10:36:09</t>
        </is>
      </c>
      <c r="C219" t="inlineStr">
        <is>
          <t>6929a9fe4c474121999c9ff6</t>
        </is>
      </c>
      <c r="D219" t="inlineStr">
        <is>
          <t>Software Engineer, New Grad</t>
        </is>
      </c>
      <c r="E219" t="inlineStr">
        <is>
          <t>1_Discovered</t>
        </is>
      </c>
      <c r="F219" t="inlineStr">
        <is>
          <t>fanout_batch</t>
        </is>
      </c>
      <c r="G219" t="inlineStr">
        <is>
          <t>reuse</t>
        </is>
      </c>
      <c r="H219" t="inlineStr">
        <is>
          <t>seed_paypal_java_backend</t>
        </is>
      </c>
      <c r="I219" t="inlineStr">
        <is>
          <t>PayPal Java Backend</t>
        </is>
      </c>
      <c r="J219"/>
      <c r="K219"/>
      <c r="L219"/>
      <c r="M219"/>
      <c r="N219"/>
      <c r="O219"/>
      <c r="P219"/>
      <c r="Q219"/>
      <c r="R219">
        <f>HYPERLINK("https://jobs.ashbyhq.com/whatnot/bc8f8c7f-2c4c-4f43-a238-953568c101b8/application?utm_source=LinkedInJobWrapping","https://jobs.ashbyhq.com/whatnot/bc8f8c7f-2c4c-4f43-a238-953568c101b8/application?utm_source=LinkedInJobWrapping")</f>
      </c>
    </row>
    <row r="220">
      <c r="A220" t="inlineStr">
        <is>
          <t>Amazon</t>
        </is>
      </c>
      <c r="B220" t="inlineStr">
        <is>
          <t>2026-04-05 10:31:52</t>
        </is>
      </c>
      <c r="C220" t="inlineStr">
        <is>
          <t>697d7d4b3f57a3356967669e</t>
        </is>
      </c>
      <c r="D220" t="inlineStr">
        <is>
          <t>Machine Learning Engineer II , AGI Customization</t>
        </is>
      </c>
      <c r="E220" t="inlineStr">
        <is>
          <t>1_Discovered</t>
        </is>
      </c>
      <c r="F220" t="inlineStr">
        <is>
          <t>fanout_batch</t>
        </is>
      </c>
      <c r="G220" t="inlineStr">
        <is>
          <t>retarget</t>
        </is>
      </c>
      <c r="H220" t="inlineStr">
        <is>
          <t>seed_amazon_agi_ml_anchor</t>
        </is>
      </c>
      <c r="I220" t="inlineStr">
        <is>
          <t>Amazon AGI/LLM Anchor</t>
        </is>
      </c>
      <c r="J220" t="inlineStr">
        <is>
          <t>amazon_ai_ads_mainline</t>
        </is>
      </c>
      <c r="K220" t="inlineStr">
        <is>
          <t>mainline</t>
        </is>
      </c>
      <c r="L220"/>
      <c r="M220"/>
      <c r="N220">
        <v>93.6</v>
      </c>
      <c r="O220" t="inlineStr">
        <is>
          <t>pass</t>
        </is>
      </c>
      <c r="P220">
        <f>HYPERLINK("file:///Users/jingyizhang/Documents/Playground/projects/local_job_resume_pipeline/data/deliverables/resume_portfolio/by_company/amazon/2026-04-05/697d7d4b3f57a3356967669e/resume.md","/Users/jingyizhang/Documents/Playground/projects/local_job_resume_pipeline/data/deliverables/resume_portfolio/by_company/amazon/2026-04-05/697d7d4b3f57a3356967669e/resume.md")</f>
      </c>
      <c r="Q220"/>
      <c r="R220">
        <f>HYPERLINK("https://www.amazon.jobs/jobs/3170644/machine-learning-engineer-ii---agi-customization?cmpid=SPLICX0248M&amp;utm_source=linkedin.com&amp;utm_campaign=cxro&amp;utm_medium=social_media&amp;utm_content=job_posting&amp;ss=paid","https://www.amazon.jobs/jobs/3170644/machine-learning-engineer-ii---agi-customization?cmpid=SPLICX0248M&amp;utm_source=linkedin.com&amp;utm_campaign=cxro&amp;utm_medium=social_media&amp;utm_content=job_posting&amp;ss=paid")</f>
      </c>
    </row>
    <row r="221">
      <c r="A221" t="inlineStr">
        <is>
          <t>TotalEnergies</t>
        </is>
      </c>
      <c r="B221" t="inlineStr">
        <is>
          <t>2026-04-05 10:31:38</t>
        </is>
      </c>
      <c r="C221" t="inlineStr">
        <is>
          <t>699931c9e0bddb6acac83f00</t>
        </is>
      </c>
      <c r="D221" t="inlineStr">
        <is>
          <t>Data Scientist - Quantitative Trading</t>
        </is>
      </c>
      <c r="E221" t="inlineStr">
        <is>
          <t>1_Discovered</t>
        </is>
      </c>
      <c r="F221" t="inlineStr">
        <is>
          <t>fanout_batch</t>
        </is>
      </c>
      <c r="G221" t="inlineStr">
        <is>
          <t>retarget</t>
        </is>
      </c>
      <c r="H221" t="inlineStr">
        <is>
          <t>seed_jpmc_data_mlops_anchor</t>
        </is>
      </c>
      <c r="I221" t="inlineStr">
        <is>
          <t>JPMorganChase Data Platform/MLOps Anchor</t>
        </is>
      </c>
      <c r="J221" t="inlineStr">
        <is>
          <t>jpmc_data_mlops_mainline</t>
        </is>
      </c>
      <c r="K221" t="inlineStr">
        <is>
          <t>mainline</t>
        </is>
      </c>
      <c r="L221"/>
      <c r="M221"/>
      <c r="N221">
        <v>93.9</v>
      </c>
      <c r="O221" t="inlineStr">
        <is>
          <t>pass</t>
        </is>
      </c>
      <c r="P221">
        <f>HYPERLINK("file:///Users/jingyizhang/Documents/Playground/projects/local_job_resume_pipeline/data/deliverables/resume_portfolio/by_company/totalenergies/2026-04-05/699931c9e0bddb6acac83f00/resume.md","/Users/jingyizhang/Documents/Playground/projects/local_job_resume_pipeline/data/deliverables/resume_portfolio/by_company/totalenergies/2026-04-05/699931c9e0bddb6acac83f00/resume.md")</f>
      </c>
      <c r="Q221"/>
      <c r="R221">
        <f>HYPERLINK("https://jobs.totalenergies.com/fr_FR/careers/JobDetail/Data-Scientist-Quantitative-Trading/77402?src=LinkedIn","https://jobs.totalenergies.com/fr_FR/careers/JobDetail/Data-Scientist-Quantitative-Trading/77402?src=LinkedIn")</f>
      </c>
    </row>
    <row r="222">
      <c r="A222" t="inlineStr">
        <is>
          <t>Capital One</t>
        </is>
      </c>
      <c r="B222" t="inlineStr">
        <is>
          <t>2026-04-05 10:13:31</t>
        </is>
      </c>
      <c r="C222" t="inlineStr">
        <is>
          <t>69b55f9f06c1ba00c5470bfb</t>
        </is>
      </c>
      <c r="D222" t="inlineStr">
        <is>
          <t>Senior Associate, Data Scientist -  Cash Flow Underwriting</t>
        </is>
      </c>
      <c r="E222" t="inlineStr">
        <is>
          <t>1_Discovered</t>
        </is>
      </c>
      <c r="F222" t="inlineStr">
        <is>
          <t>fanout_batch</t>
        </is>
      </c>
      <c r="G222" t="inlineStr">
        <is>
          <t>reuse</t>
        </is>
      </c>
      <c r="H222" t="inlineStr">
        <is>
          <t>seed_plaid_data_scientist</t>
        </is>
      </c>
      <c r="I222" t="inlineStr">
        <is>
          <t>Plaid Data Scientist</t>
        </is>
      </c>
      <c r="J222"/>
      <c r="K222"/>
      <c r="L222"/>
      <c r="M222"/>
      <c r="N222"/>
      <c r="O222"/>
      <c r="P222"/>
      <c r="Q222"/>
      <c r="R222">
        <f>HYPERLINK("https://www.capitalonecareers.com/job/-/-/234/92735030048?p_sid=OdvTngb&amp;p_uid=0dIGVLs2LN&amp;source=jobright&amp;ss=paid&amp;utm_campaign=data_science_toh_26&amp;utm_content=pj_board&amp;utm_medium=jobad&amp;utm_source=jobright","https://www.capitalonecareers.com/job/-/-/234/92735030048?p_sid=OdvTngb&amp;p_uid=0dIGVLs2LN&amp;source=jobright&amp;ss=paid&amp;utm_campaign=data_science_toh_26&amp;utm_content=pj_board&amp;utm_medium=jobad&amp;utm_source=jobright")</f>
      </c>
    </row>
    <row r="223">
      <c r="A223" t="inlineStr">
        <is>
          <t>Capital One</t>
        </is>
      </c>
      <c r="B223" t="inlineStr">
        <is>
          <t>2026-04-05 09:57:46</t>
        </is>
      </c>
      <c r="C223" t="inlineStr">
        <is>
          <t>697d051f137a05102565fa09</t>
        </is>
      </c>
      <c r="D223" t="inlineStr">
        <is>
          <t>Senior Data Scientist, AI Foundations</t>
        </is>
      </c>
      <c r="E223" t="inlineStr">
        <is>
          <t>1_Discovered</t>
        </is>
      </c>
      <c r="F223" t="inlineStr">
        <is>
          <t>fanout_batch</t>
        </is>
      </c>
      <c r="G223" t="inlineStr">
        <is>
          <t>reuse</t>
        </is>
      </c>
      <c r="H223" t="inlineStr">
        <is>
          <t>seed_bytedance_ml_grad</t>
        </is>
      </c>
      <c r="I223" t="inlineStr">
        <is>
          <t>ByteDance ML Grad</t>
        </is>
      </c>
      <c r="J223"/>
      <c r="K223"/>
      <c r="L223"/>
      <c r="M223"/>
      <c r="N223"/>
      <c r="O223"/>
      <c r="P223"/>
      <c r="Q223"/>
      <c r="R223">
        <f>HYPERLINK("https://www.capitalonecareers.com/job/-/-/234/86194263456?p_sid=6qQxFyb&amp;p_uid=6UmNRVqhKU&amp;source=jobright&amp;ss=paid&amp;utm_campaign=data_science_toh_26&amp;utm_content=pj_board&amp;utm_medium=jobad&amp;utm_source=jobright","https://www.capitalonecareers.com/job/-/-/234/86194263456?p_sid=6qQxFyb&amp;p_uid=6UmNRVqhKU&amp;source=jobright&amp;ss=paid&amp;utm_campaign=data_science_toh_26&amp;utm_content=pj_board&amp;utm_medium=jobad&amp;utm_source=jobright")</f>
      </c>
    </row>
    <row r="224">
      <c r="A224" t="inlineStr">
        <is>
          <t>Anyscale</t>
        </is>
      </c>
      <c r="B224" t="inlineStr">
        <is>
          <t>2026-04-05 09:34:12</t>
        </is>
      </c>
      <c r="C224" t="inlineStr">
        <is>
          <t>69b6af4206c1ba00c548855d</t>
        </is>
      </c>
      <c r="D224" t="inlineStr">
        <is>
          <t>Software Engineer (Ray Data)</t>
        </is>
      </c>
      <c r="E224" t="inlineStr">
        <is>
          <t>1_Discovered</t>
        </is>
      </c>
      <c r="F224" t="inlineStr">
        <is>
          <t>fanout_batch</t>
        </is>
      </c>
      <c r="G224" t="inlineStr">
        <is>
          <t>retarget</t>
        </is>
      </c>
      <c r="H224" t="inlineStr">
        <is>
          <t>seed_google_cloud_infra_anchor_candidate</t>
        </is>
      </c>
      <c r="I224" t="inlineStr">
        <is>
          <t>Google Cloud Infra Anchor</t>
        </is>
      </c>
      <c r="J224" t="inlineStr">
        <is>
          <t>google_cloud_infra_mainline</t>
        </is>
      </c>
      <c r="K224" t="inlineStr">
        <is>
          <t>mainline</t>
        </is>
      </c>
      <c r="L224"/>
      <c r="M224"/>
      <c r="N224">
        <v>79.5</v>
      </c>
      <c r="O224" t="inlineStr">
        <is>
          <t>fail</t>
        </is>
      </c>
      <c r="P224">
        <f>HYPERLINK("file:///Users/jingyizhang/Documents/Playground/projects/local_job_resume_pipeline/data/deliverables/resume_portfolio/by_company/anyscale/2026-04-05/69b6af4206c1ba00c548855d/resume.md","/Users/jingyizhang/Documents/Playground/projects/local_job_resume_pipeline/data/deliverables/resume_portfolio/by_company/anyscale/2026-04-05/69b6af4206c1ba00c548855d/resume.md")</f>
      </c>
      <c r="Q224"/>
      <c r="R224">
        <f>HYPERLINK("https://jobs.ashbyhq.com/anyscale/a83ce0ba-44ab-4d81-9c8c-bfda757377cd?utm_source=2DLolXAkmZ","https://jobs.ashbyhq.com/anyscale/a83ce0ba-44ab-4d81-9c8c-bfda757377cd?utm_source=2DLolXAkmZ")</f>
      </c>
    </row>
    <row r="225">
      <c r="A225" t="inlineStr">
        <is>
          <t>Hover</t>
        </is>
      </c>
      <c r="B225" t="inlineStr">
        <is>
          <t>2026-04-05 09:02:13</t>
        </is>
      </c>
      <c r="C225" t="inlineStr">
        <is>
          <t>69992d53ce78e77b4fdde2cf</t>
        </is>
      </c>
      <c r="D225" t="inlineStr">
        <is>
          <t>Software Engineer, 3D Modeling</t>
        </is>
      </c>
      <c r="E225" t="inlineStr">
        <is>
          <t>1_Discovered</t>
        </is>
      </c>
      <c r="F225" t="inlineStr">
        <is>
          <t>fanout_batch</t>
        </is>
      </c>
      <c r="G225" t="inlineStr">
        <is>
          <t>retarget</t>
        </is>
      </c>
      <c r="H225" t="inlineStr">
        <is>
          <t>seed_microsoft_polyglot_generalist</t>
        </is>
      </c>
      <c r="I225" t="inlineStr">
        <is>
          <t>Microsoft Polyglot Generalist</t>
        </is>
      </c>
      <c r="J225"/>
      <c r="K225"/>
      <c r="L225"/>
      <c r="M225"/>
      <c r="N225">
        <v>94.9</v>
      </c>
      <c r="O225" t="inlineStr">
        <is>
          <t>pass</t>
        </is>
      </c>
      <c r="P225">
        <f>HYPERLINK("file:///Users/jingyizhang/Documents/Playground/projects/local_job_resume_pipeline/data/deliverables/resume_portfolio/by_company/hover/2026-04-05/69992d53ce78e77b4fdde2cf/resume.md","/Users/jingyizhang/Documents/Playground/projects/local_job_resume_pipeline/data/deliverables/resume_portfolio/by_company/hover/2026-04-05/69992d53ce78e77b4fdde2cf/resume.md")</f>
      </c>
      <c r="Q225"/>
      <c r="R225">
        <f>HYPERLINK("https://boards.greenhouse.io/embed/job_app?token=7604078&amp;utm_source=jobright","https://boards.greenhouse.io/embed/job_app?token=7604078&amp;utm_source=jobright")</f>
      </c>
    </row>
    <row r="226">
      <c r="A226" t="inlineStr">
        <is>
          <t>Scale AI</t>
        </is>
      </c>
      <c r="B226" t="inlineStr">
        <is>
          <t>2026-04-05 08:49:25</t>
        </is>
      </c>
      <c r="C226" t="inlineStr">
        <is>
          <t>68cd95201ad6b16f0289bced</t>
        </is>
      </c>
      <c r="D226" t="inlineStr">
        <is>
          <t>Machine Learning Research Scientist / Engineer, Reasoning</t>
        </is>
      </c>
      <c r="E226" t="inlineStr">
        <is>
          <t>1_Discovered</t>
        </is>
      </c>
      <c r="F226" t="inlineStr">
        <is>
          <t>fanout_batch</t>
        </is>
      </c>
      <c r="G226" t="inlineStr">
        <is>
          <t>retarget</t>
        </is>
      </c>
      <c r="H226" t="inlineStr">
        <is>
          <t>seed_h2o_ai_engineer</t>
        </is>
      </c>
      <c r="I226" t="inlineStr">
        <is>
          <t>H2O AI Engineer</t>
        </is>
      </c>
      <c r="J226"/>
      <c r="K226"/>
      <c r="L226"/>
      <c r="M226"/>
      <c r="N226">
        <v>94.7</v>
      </c>
      <c r="O226" t="inlineStr">
        <is>
          <t>pass</t>
        </is>
      </c>
      <c r="P226">
        <f>HYPERLINK("file:///Users/jingyizhang/Documents/Playground/projects/local_job_resume_pipeline/data/deliverables/resume_portfolio/by_company/scale-ai/2026-04-05/68cd95201ad6b16f0289bced/resume.md","/Users/jingyizhang/Documents/Playground/projects/local_job_resume_pipeline/data/deliverables/resume_portfolio/by_company/scale-ai/2026-04-05/68cd95201ad6b16f0289bced/resume.md")</f>
      </c>
      <c r="Q226"/>
      <c r="R226">
        <f>HYPERLINK("https://boards.greenhouse.io/embed/job_app?token=4605596005&amp;utm_source=jobright","https://boards.greenhouse.io/embed/job_app?token=4605596005&amp;utm_source=jobright")</f>
      </c>
    </row>
    <row r="227">
      <c r="A227" t="inlineStr">
        <is>
          <t>Amazon Web Services (AWS)</t>
        </is>
      </c>
      <c r="B227" t="inlineStr">
        <is>
          <t>2026-04-05 08:38:08</t>
        </is>
      </c>
      <c r="C227" t="inlineStr">
        <is>
          <t>694623237d506e3808f17467</t>
        </is>
      </c>
      <c r="D227" t="inlineStr">
        <is>
          <t>Software Development Engineer</t>
        </is>
      </c>
      <c r="E227" t="inlineStr">
        <is>
          <t>1_Discovered</t>
        </is>
      </c>
      <c r="F227" t="inlineStr">
        <is>
          <t>fanout_batch</t>
        </is>
      </c>
      <c r="G227" t="inlineStr">
        <is>
          <t>reuse</t>
        </is>
      </c>
      <c r="H227" t="inlineStr">
        <is>
          <t>seed_aws_support_backend_anchor</t>
        </is>
      </c>
      <c r="I227" t="inlineStr">
        <is>
          <t>AWS Support Backend Anchor</t>
        </is>
      </c>
      <c r="J227"/>
      <c r="K227"/>
      <c r="L227"/>
      <c r="M227"/>
      <c r="N227"/>
      <c r="O227"/>
      <c r="P227"/>
      <c r="Q227"/>
      <c r="R227">
        <f>HYPERLINK("https://www.amazon.jobs/jobs/3146624/software-development-engineer?cmpid=SPLICX0248M&amp;utm_source=linkedin.com&amp;utm_campaign=cxro&amp;utm_medium=social_media&amp;utm_content=job_posting&amp;ss=paid","https://www.amazon.jobs/jobs/3146624/software-development-engineer?cmpid=SPLICX0248M&amp;utm_source=linkedin.com&amp;utm_campaign=cxro&amp;utm_medium=social_media&amp;utm_content=job_posting&amp;ss=paid")</f>
      </c>
    </row>
    <row r="228">
      <c r="A228" t="inlineStr">
        <is>
          <t>OpenAI</t>
        </is>
      </c>
      <c r="B228" t="inlineStr">
        <is>
          <t>2026-04-05 08:32:24</t>
        </is>
      </c>
      <c r="C228" t="inlineStr">
        <is>
          <t>696198d0a112b402661030c1</t>
        </is>
      </c>
      <c r="D228" t="inlineStr">
        <is>
          <t>Researcher, Synthetic RL</t>
        </is>
      </c>
      <c r="E228" t="inlineStr">
        <is>
          <t>1_Discovered</t>
        </is>
      </c>
      <c r="F228" t="inlineStr">
        <is>
          <t>fanout_batch</t>
        </is>
      </c>
      <c r="G228" t="inlineStr">
        <is>
          <t>reuse</t>
        </is>
      </c>
      <c r="H228" t="inlineStr">
        <is>
          <t>seed_linkedin_mle_foundation</t>
        </is>
      </c>
      <c r="I228" t="inlineStr">
        <is>
          <t>LinkedIn MLE Foundation</t>
        </is>
      </c>
      <c r="J228"/>
      <c r="K228"/>
      <c r="L228"/>
      <c r="M228"/>
      <c r="N228"/>
      <c r="O228"/>
      <c r="P228"/>
      <c r="Q228"/>
      <c r="R228">
        <f>HYPERLINK("https://jobs.ashbyhq.com/openai/60d3700b-ba82-4fa6-a6bb-7b2b67070510?utm_source=8lvZy0eqYJ","https://jobs.ashbyhq.com/openai/60d3700b-ba82-4fa6-a6bb-7b2b67070510?utm_source=8lvZy0eqYJ")</f>
      </c>
    </row>
    <row r="229">
      <c r="A229" t="inlineStr">
        <is>
          <t>The Trade Desk</t>
        </is>
      </c>
      <c r="B229" t="inlineStr">
        <is>
          <t>2026-04-05 08:21:08</t>
        </is>
      </c>
      <c r="C229" t="inlineStr">
        <is>
          <t>69cec0c8366bb95ba550ef84</t>
        </is>
      </c>
      <c r="D229" t="inlineStr">
        <is>
          <t>Business Intelligence Analyst II</t>
        </is>
      </c>
      <c r="E229" t="inlineStr">
        <is>
          <t>1_Discovered</t>
        </is>
      </c>
      <c r="F229" t="inlineStr">
        <is>
          <t>fanout_batch</t>
        </is>
      </c>
      <c r="G229" t="inlineStr">
        <is>
          <t>retarget</t>
        </is>
      </c>
      <c r="H229" t="inlineStr">
        <is>
          <t>seed_qualified_health_data_engineer</t>
        </is>
      </c>
      <c r="I229" t="inlineStr">
        <is>
          <t>Qualified Health Data Engineer</t>
        </is>
      </c>
      <c r="J229"/>
      <c r="K229"/>
      <c r="L229"/>
      <c r="M229"/>
      <c r="N229">
        <v>95.7</v>
      </c>
      <c r="O229" t="inlineStr">
        <is>
          <t>pass</t>
        </is>
      </c>
      <c r="P229">
        <f>HYPERLINK("file:///Users/jingyizhang/Documents/Playground/projects/local_job_resume_pipeline/data/deliverables/resume_portfolio/by_company/the-trade-desk/2026-04-05/69cec0c8366bb95ba550ef84/resume.md","/Users/jingyizhang/Documents/Playground/projects/local_job_resume_pipeline/data/deliverables/resume_portfolio/by_company/the-trade-desk/2026-04-05/69cec0c8366bb95ba550ef84/resume.md")</f>
      </c>
      <c r="Q229"/>
      <c r="R229">
        <f>HYPERLINK("https://boards.greenhouse.io/embed/job_app?token=4918240007&amp;utm_source=jobright","https://boards.greenhouse.io/embed/job_app?token=4918240007&amp;utm_source=jobright")</f>
      </c>
    </row>
    <row r="230">
      <c r="A230" t="inlineStr">
        <is>
          <t>Intuit</t>
        </is>
      </c>
      <c r="B230" t="inlineStr">
        <is>
          <t>2026-04-05 08:10:32</t>
        </is>
      </c>
      <c r="C230" t="inlineStr">
        <is>
          <t>69458f62951654073537a75a</t>
        </is>
      </c>
      <c r="D230" t="inlineStr">
        <is>
          <t>Senior AI Scientist</t>
        </is>
      </c>
      <c r="E230" t="inlineStr">
        <is>
          <t>1_Discovered</t>
        </is>
      </c>
      <c r="F230" t="inlineStr">
        <is>
          <t>fanout_batch</t>
        </is>
      </c>
      <c r="G230" t="inlineStr">
        <is>
          <t>reuse</t>
        </is>
      </c>
      <c r="H230" t="inlineStr">
        <is>
          <t>seed_bytedance_ml_grad</t>
        </is>
      </c>
      <c r="I230" t="inlineStr">
        <is>
          <t>ByteDance ML Grad</t>
        </is>
      </c>
      <c r="J230"/>
      <c r="K230"/>
      <c r="L230"/>
      <c r="M230"/>
      <c r="N230"/>
      <c r="O230"/>
      <c r="P230"/>
      <c r="Q230"/>
      <c r="R230">
        <f>HYPERLINK("https://jobs.intuit.com/job/-/-/27595/87369449680?cid=pjob_li_click_us_datasci-fy26_cn_text_job_int-tm&amp;iis=pjob&amp;iisn=li&amp;p_sid=eblRUbb&amp;p_uid=5ooHLeV1F5&amp;ss=paid&amp;utm_campaign=&amp;utm_content=pj_board&amp;utm_medium=jobad&amp;utm_source=linkedin+slots+%28intuit%29","https://jobs.intuit.com/job/-/-/27595/87369449680?cid=pjob_li_click_us_datasci-fy26_cn_text_job_int-tm&amp;iis=pjob&amp;iisn=li&amp;p_sid=eblRUbb&amp;p_uid=5ooHLeV1F5&amp;ss=paid&amp;utm_campaign=&amp;utm_content=pj_board&amp;utm_medium=jobad&amp;utm_source=linkedin+slots+%28intuit%29")</f>
      </c>
    </row>
    <row r="231">
      <c r="A231" t="inlineStr">
        <is>
          <t>GHX</t>
        </is>
      </c>
      <c r="B231" t="inlineStr">
        <is>
          <t>2026-04-05 07:57:57</t>
        </is>
      </c>
      <c r="C231" t="inlineStr">
        <is>
          <t>6945fec463141d188455a1dd</t>
        </is>
      </c>
      <c r="D231" t="inlineStr">
        <is>
          <t>Manager, Software Engineering - Java, AWS, CI/CD</t>
        </is>
      </c>
      <c r="E231" t="inlineStr">
        <is>
          <t>1_Discovered</t>
        </is>
      </c>
      <c r="F231" t="inlineStr">
        <is>
          <t>fanout_batch</t>
        </is>
      </c>
      <c r="G231" t="inlineStr">
        <is>
          <t>reuse</t>
        </is>
      </c>
      <c r="H231" t="inlineStr">
        <is>
          <t>seed_cisco_backend_api</t>
        </is>
      </c>
      <c r="I231" t="inlineStr">
        <is>
          <t>Cisco Backend API</t>
        </is>
      </c>
      <c r="J231"/>
      <c r="K231"/>
      <c r="L231"/>
      <c r="M231"/>
      <c r="N231"/>
      <c r="O231"/>
      <c r="P231"/>
      <c r="Q231"/>
      <c r="R231">
        <f>HYPERLINK("https://boards.greenhouse.io/embed/job_app?token=4638324005&amp;utm_source=jobright","https://boards.greenhouse.io/embed/job_app?token=4638324005&amp;utm_source=jobright")</f>
      </c>
    </row>
    <row r="232">
      <c r="A232" t="inlineStr">
        <is>
          <t>Rippling</t>
        </is>
      </c>
      <c r="B232" t="inlineStr">
        <is>
          <t>2026-04-05 07:56:06</t>
        </is>
      </c>
      <c r="C232" t="inlineStr">
        <is>
          <t>6943ecb494730b7398771425</t>
        </is>
      </c>
      <c r="D232" t="inlineStr">
        <is>
          <t>Forward Deployed Engineer</t>
        </is>
      </c>
      <c r="E232" t="inlineStr">
        <is>
          <t>1_Discovered</t>
        </is>
      </c>
      <c r="F232" t="inlineStr">
        <is>
          <t>fanout_batch</t>
        </is>
      </c>
      <c r="G232" t="inlineStr">
        <is>
          <t>reuse</t>
        </is>
      </c>
      <c r="H232" t="inlineStr">
        <is>
          <t>seed_microsoft_polyglot_generalist</t>
        </is>
      </c>
      <c r="I232" t="inlineStr">
        <is>
          <t>Microsoft Polyglot Generalist</t>
        </is>
      </c>
      <c r="J232"/>
      <c r="K232"/>
      <c r="L232"/>
      <c r="M232"/>
      <c r="N232"/>
      <c r="O232"/>
      <c r="P232"/>
      <c r="Q232"/>
      <c r="R232">
        <f>HYPERLINK("https://ats.rippling.com/rippling/jobs/efa6057a-5055-4ba0-8fd1-13a14c85b014?jobSite=LinkedIn","https://ats.rippling.com/rippling/jobs/efa6057a-5055-4ba0-8fd1-13a14c85b014?jobSite=LinkedIn")</f>
      </c>
    </row>
    <row r="233">
      <c r="A233" t="inlineStr">
        <is>
          <t>Applied Intuition</t>
        </is>
      </c>
      <c r="B233" t="inlineStr">
        <is>
          <t>2026-04-05 07:51:11</t>
        </is>
      </c>
      <c r="C233" t="inlineStr">
        <is>
          <t>689d4cb179a9f9666253eeaa</t>
        </is>
      </c>
      <c r="D233" t="inlineStr">
        <is>
          <t>Senior Software Integration Engineer</t>
        </is>
      </c>
      <c r="E233" t="inlineStr">
        <is>
          <t>1_Discovered</t>
        </is>
      </c>
      <c r="F233" t="inlineStr">
        <is>
          <t>fanout_batch</t>
        </is>
      </c>
      <c r="G233" t="inlineStr">
        <is>
          <t>retarget</t>
        </is>
      </c>
      <c r="H233" t="inlineStr">
        <is>
          <t>seed_aws_support_backend_anchor</t>
        </is>
      </c>
      <c r="I233" t="inlineStr">
        <is>
          <t>AWS Support Backend Anchor</t>
        </is>
      </c>
      <c r="J233"/>
      <c r="K233"/>
      <c r="L233"/>
      <c r="M233"/>
      <c r="N233">
        <v>94.1</v>
      </c>
      <c r="O233" t="inlineStr">
        <is>
          <t>pass</t>
        </is>
      </c>
      <c r="P233">
        <f>HYPERLINK("file:///Users/jingyizhang/Documents/Playground/projects/local_job_resume_pipeline/data/deliverables/resume_portfolio/by_company/applied-intuition/2026-04-05/689d4cb179a9f9666253eeaa/resume.md","/Users/jingyizhang/Documents/Playground/projects/local_job_resume_pipeline/data/deliverables/resume_portfolio/by_company/applied-intuition/2026-04-05/689d4cb179a9f9666253eeaa/resume.md")</f>
      </c>
      <c r="Q233"/>
      <c r="R233">
        <f>HYPERLINK("https://boards.greenhouse.io/embed/job_app?token=4513894005&amp;utm_source=jobright","https://boards.greenhouse.io/embed/job_app?token=4513894005&amp;utm_source=jobright")</f>
      </c>
    </row>
    <row r="234">
      <c r="A234" t="inlineStr">
        <is>
          <t>Applied Intuition</t>
        </is>
      </c>
      <c r="B234" t="inlineStr">
        <is>
          <t>2026-04-05 07:51:11</t>
        </is>
      </c>
      <c r="C234" t="inlineStr">
        <is>
          <t>674973e29a71c8abf4986751</t>
        </is>
      </c>
      <c r="D234" t="inlineStr">
        <is>
          <t>ML Perception Software Engineer</t>
        </is>
      </c>
      <c r="E234" t="inlineStr">
        <is>
          <t>1_Discovered</t>
        </is>
      </c>
      <c r="F234" t="inlineStr">
        <is>
          <t>fanout_batch</t>
        </is>
      </c>
      <c r="G234" t="inlineStr">
        <is>
          <t>retarget</t>
        </is>
      </c>
      <c r="H234" t="inlineStr">
        <is>
          <t>seed_amazon_agi_ml_anchor</t>
        </is>
      </c>
      <c r="I234" t="inlineStr">
        <is>
          <t>Amazon AGI/LLM Anchor</t>
        </is>
      </c>
      <c r="J234" t="inlineStr">
        <is>
          <t>amazon_ai_ads_mainline</t>
        </is>
      </c>
      <c r="K234" t="inlineStr">
        <is>
          <t>mainline</t>
        </is>
      </c>
      <c r="L234"/>
      <c r="M234"/>
      <c r="N234">
        <v>94.0</v>
      </c>
      <c r="O234" t="inlineStr">
        <is>
          <t>pass</t>
        </is>
      </c>
      <c r="P234">
        <f>HYPERLINK("file:///Users/jingyizhang/Documents/Playground/projects/local_job_resume_pipeline/data/deliverables/resume_portfolio/by_company/applied-intuition/2026-04-05/674973e29a71c8abf4986751/resume.md","/Users/jingyizhang/Documents/Playground/projects/local_job_resume_pipeline/data/deliverables/resume_portfolio/by_company/applied-intuition/2026-04-05/674973e29a71c8abf4986751/resume.md")</f>
      </c>
      <c r="Q234"/>
      <c r="R234">
        <f>HYPERLINK("https://boards.greenhouse.io/embed/job_app?token=4373447005&amp;utm_source=jobright","https://boards.greenhouse.io/embed/job_app?token=4373447005&amp;utm_source=jobright")</f>
      </c>
    </row>
    <row r="235">
      <c r="A235" t="inlineStr">
        <is>
          <t>Applied Intuition</t>
        </is>
      </c>
      <c r="B235" t="inlineStr">
        <is>
          <t>2026-04-05 07:50:36</t>
        </is>
      </c>
      <c r="C235" t="inlineStr">
        <is>
          <t>674988e522f21fa6a6bcc94a</t>
        </is>
      </c>
      <c r="D235" t="inlineStr">
        <is>
          <t>Software Engineer - Maps Infrastructure</t>
        </is>
      </c>
      <c r="E235" t="inlineStr">
        <is>
          <t>1_Discovered</t>
        </is>
      </c>
      <c r="F235" t="inlineStr">
        <is>
          <t>fanout_batch</t>
        </is>
      </c>
      <c r="G235" t="inlineStr">
        <is>
          <t>reuse</t>
        </is>
      </c>
      <c r="H235" t="inlineStr">
        <is>
          <t>seed_aws_support_backend_anchor</t>
        </is>
      </c>
      <c r="I235" t="inlineStr">
        <is>
          <t>AWS Support Backend Anchor</t>
        </is>
      </c>
      <c r="J235"/>
      <c r="K235"/>
      <c r="L235"/>
      <c r="M235"/>
      <c r="N235"/>
      <c r="O235"/>
      <c r="P235"/>
      <c r="Q235"/>
      <c r="R235">
        <f>HYPERLINK("https://boards.greenhouse.io/embed/job_app?token=4045242005&amp;utm_source=jobright","https://boards.greenhouse.io/embed/job_app?token=4045242005&amp;utm_source=jobright")</f>
      </c>
    </row>
    <row r="236">
      <c r="A236" t="inlineStr">
        <is>
          <t>Applied Intuition</t>
        </is>
      </c>
      <c r="B236" t="inlineStr">
        <is>
          <t>2026-04-05 07:50:17</t>
        </is>
      </c>
      <c r="C236" t="inlineStr">
        <is>
          <t>68c8652ff9c6ff7aedf0dba6</t>
        </is>
      </c>
      <c r="D236" t="inlineStr">
        <is>
          <t>Software Engineer - Telematics</t>
        </is>
      </c>
      <c r="E236" t="inlineStr">
        <is>
          <t>1_Discovered</t>
        </is>
      </c>
      <c r="F236" t="inlineStr">
        <is>
          <t>fanout_batch</t>
        </is>
      </c>
      <c r="G236" t="inlineStr">
        <is>
          <t>retarget</t>
        </is>
      </c>
      <c r="H236" t="inlineStr">
        <is>
          <t>seed_cisco_backend_api</t>
        </is>
      </c>
      <c r="I236" t="inlineStr">
        <is>
          <t>Cisco Backend API</t>
        </is>
      </c>
      <c r="J236"/>
      <c r="K236"/>
      <c r="L236"/>
      <c r="M236"/>
      <c r="N236">
        <v>94.3</v>
      </c>
      <c r="O236" t="inlineStr">
        <is>
          <t>pass</t>
        </is>
      </c>
      <c r="P236">
        <f>HYPERLINK("file:///Users/jingyizhang/Documents/Playground/projects/local_job_resume_pipeline/data/deliverables/resume_portfolio/by_company/applied-intuition/2026-04-05/68c8652ff9c6ff7aedf0dba6/resume.md","/Users/jingyizhang/Documents/Playground/projects/local_job_resume_pipeline/data/deliverables/resume_portfolio/by_company/applied-intuition/2026-04-05/68c8652ff9c6ff7aedf0dba6/resume.md")</f>
      </c>
      <c r="Q236"/>
      <c r="R236">
        <f>HYPERLINK("https://boards.greenhouse.io/embed/job_app?token=4578496005&amp;utm_source=jobright","https://boards.greenhouse.io/embed/job_app?token=4578496005&amp;utm_source=jobright")</f>
      </c>
    </row>
    <row r="237">
      <c r="A237" t="inlineStr">
        <is>
          <t>Light &amp; Wonder</t>
        </is>
      </c>
      <c r="B237" t="inlineStr">
        <is>
          <t>2026-04-05 07:47:12</t>
        </is>
      </c>
      <c r="C237" t="inlineStr">
        <is>
          <t>69d259d0366bb95ba552d5f7</t>
        </is>
      </c>
      <c r="D237" t="inlineStr">
        <is>
          <t>Software Engineer</t>
        </is>
      </c>
      <c r="E237" t="inlineStr">
        <is>
          <t>1_Discovered</t>
        </is>
      </c>
      <c r="F237" t="inlineStr">
        <is>
          <t>fanout_batch</t>
        </is>
      </c>
      <c r="G237" t="inlineStr">
        <is>
          <t>retarget</t>
        </is>
      </c>
      <c r="H237" t="inlineStr">
        <is>
          <t>seed_google_cloud_infra_anchor_candidate</t>
        </is>
      </c>
      <c r="I237" t="inlineStr">
        <is>
          <t>Google Cloud Infra Anchor</t>
        </is>
      </c>
      <c r="J237" t="inlineStr">
        <is>
          <t>google_cloud_infra_mainline</t>
        </is>
      </c>
      <c r="K237" t="inlineStr">
        <is>
          <t>mainline</t>
        </is>
      </c>
      <c r="L237"/>
      <c r="M237"/>
      <c r="N237">
        <v>96.4</v>
      </c>
      <c r="O237" t="inlineStr">
        <is>
          <t>pass</t>
        </is>
      </c>
      <c r="P237">
        <f>HYPERLINK("file:///Users/jingyizhang/Documents/Playground/projects/local_job_resume_pipeline/data/deliverables/resume_portfolio/by_company/light-wonder/2026-04-05/69d259d0366bb95ba552d5f7/resume.md","/Users/jingyizhang/Documents/Playground/projects/local_job_resume_pipeline/data/deliverables/resume_portfolio/by_company/light-wonder/2026-04-05/69d259d0366bb95ba552d5f7/resume.md")</f>
      </c>
      <c r="Q237"/>
      <c r="R237">
        <f>HYPERLINK("https://lnw.wd5.myworkdayjobs.com/lightwonderexternalcareers/job/Reno-NV/Software-Engineer_R321148","https://lnw.wd5.myworkdayjobs.com/lightwonderexternalcareers/job/Reno-NV/Software-Engineer_R321148")</f>
      </c>
    </row>
    <row r="238">
      <c r="A238" t="inlineStr">
        <is>
          <t>Zoom</t>
        </is>
      </c>
      <c r="B238" t="inlineStr">
        <is>
          <t>2026-04-05 07:42:04</t>
        </is>
      </c>
      <c r="C238" t="inlineStr">
        <is>
          <t>69caffb5e565c26a70043646</t>
        </is>
      </c>
      <c r="D238" t="inlineStr">
        <is>
          <t>AI Software Engineer</t>
        </is>
      </c>
      <c r="E238" t="inlineStr">
        <is>
          <t>1_Discovered</t>
        </is>
      </c>
      <c r="F238" t="inlineStr">
        <is>
          <t>fanout_batch</t>
        </is>
      </c>
      <c r="G238" t="inlineStr">
        <is>
          <t>reuse</t>
        </is>
      </c>
      <c r="H238" t="inlineStr">
        <is>
          <t>seed_h2o_ai_engineer</t>
        </is>
      </c>
      <c r="I238" t="inlineStr">
        <is>
          <t>H2O AI Engineer</t>
        </is>
      </c>
      <c r="J238"/>
      <c r="K238"/>
      <c r="L238"/>
      <c r="M238"/>
      <c r="N238"/>
      <c r="O238"/>
      <c r="P238"/>
      <c r="Q238"/>
      <c r="R238">
        <f>HYPERLINK("https://zoom.wd5.myworkdayjobs.com/Zoom/job/Seattle-WA/AI-Software-Engineer_R15882-1?source=linkedin","https://zoom.wd5.myworkdayjobs.com/Zoom/job/Seattle-WA/AI-Software-Engineer_R15882-1?source=linkedin")</f>
      </c>
    </row>
    <row r="239">
      <c r="A239" t="inlineStr">
        <is>
          <t>Teza Technologies</t>
        </is>
      </c>
      <c r="B239" t="inlineStr">
        <is>
          <t>2026-04-05 07:35:27</t>
        </is>
      </c>
      <c r="C239" t="inlineStr">
        <is>
          <t>69a65e292c0d8b0f5cd07dbf</t>
        </is>
      </c>
      <c r="D239" t="inlineStr">
        <is>
          <t>Data Engineer</t>
        </is>
      </c>
      <c r="E239" t="inlineStr">
        <is>
          <t>1_Discovered</t>
        </is>
      </c>
      <c r="F239" t="inlineStr">
        <is>
          <t>fanout_batch</t>
        </is>
      </c>
      <c r="G239" t="inlineStr">
        <is>
          <t>retarget</t>
        </is>
      </c>
      <c r="H239" t="inlineStr">
        <is>
          <t>seed_jpmc_data_mlops_anchor</t>
        </is>
      </c>
      <c r="I239" t="inlineStr">
        <is>
          <t>JPMorganChase Data Platform/MLOps Anchor</t>
        </is>
      </c>
      <c r="J239" t="inlineStr">
        <is>
          <t>jpmc_data_mlops_mainline</t>
        </is>
      </c>
      <c r="K239" t="inlineStr">
        <is>
          <t>mainline</t>
        </is>
      </c>
      <c r="L239"/>
      <c r="M239"/>
      <c r="N239">
        <v>95.0</v>
      </c>
      <c r="O239" t="inlineStr">
        <is>
          <t>pass</t>
        </is>
      </c>
      <c r="P239">
        <f>HYPERLINK("file:///Users/jingyizhang/Documents/Playground/projects/local_job_resume_pipeline/data/deliverables/resume_portfolio/by_company/teza-technologies/2026-04-05/69a65e292c0d8b0f5cd07dbf/resume.md","/Users/jingyizhang/Documents/Playground/projects/local_job_resume_pipeline/data/deliverables/resume_portfolio/by_company/teza-technologies/2026-04-05/69a65e292c0d8b0f5cd07dbf/resume.md")</f>
      </c>
      <c r="Q239"/>
      <c r="R239">
        <f>HYPERLINK("https://jobs.ashbyhq.com/teza-technologies/5835dedb-2ac0-4f3b-838e-53e33e0a2dc8?utm_source=LinkedIn","https://jobs.ashbyhq.com/teza-technologies/5835dedb-2ac0-4f3b-838e-53e33e0a2dc8?utm_source=LinkedIn")</f>
      </c>
    </row>
    <row r="240">
      <c r="A240" t="inlineStr">
        <is>
          <t>Appian</t>
        </is>
      </c>
      <c r="B240" t="inlineStr">
        <is>
          <t>2026-04-05 07:29:17</t>
        </is>
      </c>
      <c r="C240" t="inlineStr">
        <is>
          <t>69b423843b74eb1e2c8139c0</t>
        </is>
      </c>
      <c r="D240" t="inlineStr">
        <is>
          <t>Information Security Analyst (Third Shift)</t>
        </is>
      </c>
      <c r="E240" t="inlineStr">
        <is>
          <t>1_Discovered</t>
        </is>
      </c>
      <c r="F240" t="inlineStr">
        <is>
          <t>fanout_batch</t>
        </is>
      </c>
      <c r="G240" t="inlineStr">
        <is>
          <t>retarget</t>
        </is>
      </c>
      <c r="H240" t="inlineStr">
        <is>
          <t>seed_fireblocks_sre_anchor</t>
        </is>
      </c>
      <c r="I240" t="inlineStr">
        <is>
          <t>Fireblocks SRE Anchor</t>
        </is>
      </c>
      <c r="J240"/>
      <c r="K240"/>
      <c r="L240"/>
      <c r="M240"/>
      <c r="N240">
        <v>88.0</v>
      </c>
      <c r="O240" t="inlineStr">
        <is>
          <t>conditional_pass</t>
        </is>
      </c>
      <c r="P240">
        <f>HYPERLINK("file:///Users/jingyizhang/Documents/Playground/projects/local_job_resume_pipeline/data/deliverables/resume_portfolio/by_company/appian/2026-04-05/69b423843b74eb1e2c8139c0/resume.md","/Users/jingyizhang/Documents/Playground/projects/local_job_resume_pipeline/data/deliverables/resume_portfolio/by_company/appian/2026-04-05/69b423843b74eb1e2c8139c0/resume.md")</f>
      </c>
      <c r="Q240"/>
      <c r="R240">
        <f>HYPERLINK("https://boards.greenhouse.io/embed/job_app?token=7716124&amp;utm_source=jobright","https://boards.greenhouse.io/embed/job_app?token=7716124&amp;utm_source=jobright")</f>
      </c>
    </row>
    <row r="241">
      <c r="A241" t="inlineStr">
        <is>
          <t>Hudson River Trading</t>
        </is>
      </c>
      <c r="B241" t="inlineStr">
        <is>
          <t>2026-04-05 07:23:22</t>
        </is>
      </c>
      <c r="C241" t="inlineStr">
        <is>
          <t>690cded54a1b456627b1b2ea</t>
        </is>
      </c>
      <c r="D241" t="inlineStr">
        <is>
          <t>Software Engineer (C++ or Python) – 2026 Grads</t>
        </is>
      </c>
      <c r="E241" t="inlineStr">
        <is>
          <t>1_Discovered</t>
        </is>
      </c>
      <c r="F241" t="inlineStr">
        <is>
          <t>fanout_batch</t>
        </is>
      </c>
      <c r="G241" t="inlineStr">
        <is>
          <t>retarget</t>
        </is>
      </c>
      <c r="H241" t="inlineStr">
        <is>
          <t>seed_aws_support_backend_anchor</t>
        </is>
      </c>
      <c r="I241" t="inlineStr">
        <is>
          <t>AWS Support Backend Anchor</t>
        </is>
      </c>
      <c r="J241"/>
      <c r="K241"/>
      <c r="L241"/>
      <c r="M241"/>
      <c r="N241">
        <v>94.7</v>
      </c>
      <c r="O241" t="inlineStr">
        <is>
          <t>pass</t>
        </is>
      </c>
      <c r="P241">
        <f>HYPERLINK("file:///Users/jingyizhang/Documents/Playground/projects/local_job_resume_pipeline/data/deliverables/resume_portfolio/by_company/hudson-river-trading/2026-04-05/690cded54a1b456627b1b2ea/resume.md","/Users/jingyizhang/Documents/Playground/projects/local_job_resume_pipeline/data/deliverables/resume_portfolio/by_company/hudson-river-trading/2026-04-05/690cded54a1b456627b1b2ea/resume.md")</f>
      </c>
      <c r="Q241"/>
      <c r="R241">
        <f>HYPERLINK("https://boards.greenhouse.io/embed/job_app?token=7053514&amp;utm_source=jobright","https://boards.greenhouse.io/embed/job_app?token=7053514&amp;utm_source=jobright")</f>
      </c>
    </row>
    <row r="242">
      <c r="A242" t="inlineStr">
        <is>
          <t>ŌURA</t>
        </is>
      </c>
      <c r="B242" t="inlineStr">
        <is>
          <t>2026-04-05 07:18:34</t>
        </is>
      </c>
      <c r="C242" t="inlineStr">
        <is>
          <t>69b1ae5c548f140066e77836</t>
        </is>
      </c>
      <c r="D242" t="inlineStr">
        <is>
          <t>Data Scientist - Movement</t>
        </is>
      </c>
      <c r="E242" t="inlineStr">
        <is>
          <t>1_Discovered</t>
        </is>
      </c>
      <c r="F242" t="inlineStr">
        <is>
          <t>fanout_batch</t>
        </is>
      </c>
      <c r="G242" t="inlineStr">
        <is>
          <t>retarget</t>
        </is>
      </c>
      <c r="H242" t="inlineStr">
        <is>
          <t>seed_bytedance_ml_grad</t>
        </is>
      </c>
      <c r="I242" t="inlineStr">
        <is>
          <t>ByteDance ML Grad</t>
        </is>
      </c>
      <c r="J242"/>
      <c r="K242"/>
      <c r="L242"/>
      <c r="M242"/>
      <c r="N242">
        <v>95.3</v>
      </c>
      <c r="O242" t="inlineStr">
        <is>
          <t>pass</t>
        </is>
      </c>
      <c r="P242">
        <f>HYPERLINK("file:///Users/jingyizhang/Documents/Playground/projects/local_job_resume_pipeline/data/deliverables/resume_portfolio/by_company/oura/2026-04-05/69b1ae5c548f140066e77836/resume.md","/Users/jingyizhang/Documents/Playground/projects/local_job_resume_pipeline/data/deliverables/resume_portfolio/by_company/oura/2026-04-05/69b1ae5c548f140066e77836/resume.md")</f>
      </c>
      <c r="Q242"/>
      <c r="R242">
        <f>HYPERLINK("https://boards.greenhouse.io/embed/job_app?token=4140526009&amp;utm_source=jobright","https://boards.greenhouse.io/embed/job_app?token=4140526009&amp;utm_source=jobright")</f>
      </c>
    </row>
    <row r="243">
      <c r="A243" t="inlineStr">
        <is>
          <t>MiQ</t>
        </is>
      </c>
      <c r="B243" t="inlineStr">
        <is>
          <t>2026-04-05 07:18:02</t>
        </is>
      </c>
      <c r="C243" t="inlineStr">
        <is>
          <t>690d31754a1b456627b1f081</t>
        </is>
      </c>
      <c r="D243" t="inlineStr">
        <is>
          <t>Solutions Engineer</t>
        </is>
      </c>
      <c r="E243" t="inlineStr">
        <is>
          <t>1_Discovered</t>
        </is>
      </c>
      <c r="F243" t="inlineStr">
        <is>
          <t>fanout_batch</t>
        </is>
      </c>
      <c r="G243" t="inlineStr">
        <is>
          <t>retarget</t>
        </is>
      </c>
      <c r="H243" t="inlineStr">
        <is>
          <t>seed_h2o_ai_engineer</t>
        </is>
      </c>
      <c r="I243" t="inlineStr">
        <is>
          <t>H2O AI Engineer</t>
        </is>
      </c>
      <c r="J243"/>
      <c r="K243"/>
      <c r="L243"/>
      <c r="M243"/>
      <c r="N243">
        <v>78.1</v>
      </c>
      <c r="O243" t="inlineStr">
        <is>
          <t>fail</t>
        </is>
      </c>
      <c r="P243">
        <f>HYPERLINK("file:///Users/jingyizhang/Documents/Playground/projects/local_job_resume_pipeline/data/deliverables/resume_portfolio/by_company/miq/2026-04-05/690d31754a1b456627b1f081/resume.md","/Users/jingyizhang/Documents/Playground/projects/local_job_resume_pipeline/data/deliverables/resume_portfolio/by_company/miq/2026-04-05/690d31754a1b456627b1f081/resume.md")</f>
      </c>
      <c r="Q243"/>
      <c r="R243">
        <f>HYPERLINK("https://miqdigital.wd3.myworkdayjobs.com/en-US/MiQ_Careers/job/New-York/Solutions-Engineer_JR100071?source=LinkedIn","https://miqdigital.wd3.myworkdayjobs.com/en-US/MiQ_Careers/job/New-York/Solutions-Engineer_JR100071?source=LinkedIn")</f>
      </c>
    </row>
    <row r="244">
      <c r="A244" t="inlineStr">
        <is>
          <t>Chime</t>
        </is>
      </c>
      <c r="B244" t="inlineStr">
        <is>
          <t>2026-04-05 07:07:55</t>
        </is>
      </c>
      <c r="C244" t="inlineStr">
        <is>
          <t>690c20c14a1b456627b1666a</t>
        </is>
      </c>
      <c r="D244" t="inlineStr">
        <is>
          <t>Software Engineer, Financial Platform</t>
        </is>
      </c>
      <c r="E244" t="inlineStr">
        <is>
          <t>1_Discovered</t>
        </is>
      </c>
      <c r="F244" t="inlineStr">
        <is>
          <t>fanout_batch</t>
        </is>
      </c>
      <c r="G244" t="inlineStr">
        <is>
          <t>retarget</t>
        </is>
      </c>
      <c r="H244" t="inlineStr">
        <is>
          <t>seed_fireblocks_sre_anchor</t>
        </is>
      </c>
      <c r="I244" t="inlineStr">
        <is>
          <t>Fireblocks SRE Anchor</t>
        </is>
      </c>
      <c r="J244"/>
      <c r="K244"/>
      <c r="L244"/>
      <c r="M244"/>
      <c r="N244">
        <v>95.1</v>
      </c>
      <c r="O244" t="inlineStr">
        <is>
          <t>pass</t>
        </is>
      </c>
      <c r="P244">
        <f>HYPERLINK("file:///Users/jingyizhang/Documents/Playground/projects/local_job_resume_pipeline/data/deliverables/resume_portfolio/by_company/chime/2026-04-05/690c20c14a1b456627b1666a/resume.md","/Users/jingyizhang/Documents/Playground/projects/local_job_resume_pipeline/data/deliverables/resume_portfolio/by_company/chime/2026-04-05/690c20c14a1b456627b1666a/resume.md")</f>
      </c>
      <c r="Q244"/>
      <c r="R244">
        <f>HYPERLINK("https://boards.greenhouse.io/embed/job_app?token=8183064002&amp;utm_source=jobright","https://boards.greenhouse.io/embed/job_app?token=8183064002&amp;utm_source=jobright")</f>
      </c>
    </row>
    <row r="245">
      <c r="A245" t="inlineStr">
        <is>
          <t>Hinge</t>
        </is>
      </c>
      <c r="B245" t="inlineStr">
        <is>
          <t>2026-04-05 06:59:25</t>
        </is>
      </c>
      <c r="C245" t="inlineStr">
        <is>
          <t>69449e44a7227b3ece66379b</t>
        </is>
      </c>
      <c r="D245" t="inlineStr">
        <is>
          <t>Senior Machine Learning Engineer, Dating Outcomes</t>
        </is>
      </c>
      <c r="E245" t="inlineStr">
        <is>
          <t>1_Discovered</t>
        </is>
      </c>
      <c r="F245" t="inlineStr">
        <is>
          <t>fanout_batch</t>
        </is>
      </c>
      <c r="G245" t="inlineStr">
        <is>
          <t>retarget</t>
        </is>
      </c>
      <c r="H245" t="inlineStr">
        <is>
          <t>seed_h2o_ai_engineer</t>
        </is>
      </c>
      <c r="I245" t="inlineStr">
        <is>
          <t>H2O AI Engineer</t>
        </is>
      </c>
      <c r="J245"/>
      <c r="K245"/>
      <c r="L245"/>
      <c r="M245"/>
      <c r="N245">
        <v>96.0</v>
      </c>
      <c r="O245" t="inlineStr">
        <is>
          <t>pass</t>
        </is>
      </c>
      <c r="P245">
        <f>HYPERLINK("file:///Users/jingyizhang/Documents/Playground/projects/local_job_resume_pipeline/data/deliverables/resume_portfolio/by_company/hinge/2026-04-05/69449e44a7227b3ece66379b/resume.md","/Users/jingyizhang/Documents/Playground/projects/local_job_resume_pipeline/data/deliverables/resume_portfolio/by_company/hinge/2026-04-05/69449e44a7227b3ece66379b/resume.md")</f>
      </c>
      <c r="Q245"/>
      <c r="R245">
        <f>HYPERLINK("https://jobs.lever.co/matchgroup/523e9382-57ad-45bb-a06d-c71e57bd0240/apply?lever-source=jobright&amp;lever-origin=applied&amp;lever-source%255B%255D=LinkedIn%2520FR","https://jobs.lever.co/matchgroup/523e9382-57ad-45bb-a06d-c71e57bd0240/apply?lever-source=jobright&amp;lever-origin=applied&amp;lever-source%255B%255D=LinkedIn%2520FR")</f>
      </c>
    </row>
    <row r="246">
      <c r="A246" t="inlineStr">
        <is>
          <t>Shipt</t>
        </is>
      </c>
      <c r="B246" t="inlineStr">
        <is>
          <t>2026-04-05 06:58:39</t>
        </is>
      </c>
      <c r="C246" t="inlineStr">
        <is>
          <t>690a8b2ebcccf20de59e3b1e</t>
        </is>
      </c>
      <c r="D246" t="inlineStr">
        <is>
          <t>Senior Engineer</t>
        </is>
      </c>
      <c r="E246" t="inlineStr">
        <is>
          <t>1_Discovered</t>
        </is>
      </c>
      <c r="F246" t="inlineStr">
        <is>
          <t>fanout_batch</t>
        </is>
      </c>
      <c r="G246" t="inlineStr">
        <is>
          <t>retarget</t>
        </is>
      </c>
      <c r="H246" t="inlineStr">
        <is>
          <t>seed_fireblocks_sre_anchor</t>
        </is>
      </c>
      <c r="I246" t="inlineStr">
        <is>
          <t>Fireblocks SRE Anchor</t>
        </is>
      </c>
      <c r="J246"/>
      <c r="K246"/>
      <c r="L246"/>
      <c r="M246"/>
      <c r="N246">
        <v>95.4</v>
      </c>
      <c r="O246" t="inlineStr">
        <is>
          <t>pass</t>
        </is>
      </c>
      <c r="P246">
        <f>HYPERLINK("file:///Users/jingyizhang/Documents/Playground/projects/local_job_resume_pipeline/data/deliverables/resume_portfolio/by_company/shipt/2026-04-05/690a8b2ebcccf20de59e3b1e/resume.md","/Users/jingyizhang/Documents/Playground/projects/local_job_resume_pipeline/data/deliverables/resume_portfolio/by_company/shipt/2026-04-05/690a8b2ebcccf20de59e3b1e/resume.md")</f>
      </c>
      <c r="Q246"/>
      <c r="R246">
        <f>HYPERLINK("https://shipt.wd1.myworkdayjobs.com/Shipt_External/job/Birmingham-AL/Senior-Security-Engineer_R4002?source=LinkedIn","https://shipt.wd1.myworkdayjobs.com/Shipt_External/job/Birmingham-AL/Senior-Security-Engineer_R4002?source=LinkedIn")</f>
      </c>
    </row>
    <row r="247">
      <c r="A247" t="inlineStr">
        <is>
          <t>Amazon Web Services (AWS)</t>
        </is>
      </c>
      <c r="B247" t="inlineStr">
        <is>
          <t>2026-04-05 06:42:37</t>
        </is>
      </c>
      <c r="C247" t="inlineStr">
        <is>
          <t>69d24aad54f00230c6d20cdc</t>
        </is>
      </c>
      <c r="D247" t="inlineStr">
        <is>
          <t>Software Development Engineer, EC2 UltraServer Availability</t>
        </is>
      </c>
      <c r="E247" t="inlineStr">
        <is>
          <t>1_Discovered</t>
        </is>
      </c>
      <c r="F247" t="inlineStr">
        <is>
          <t>fanout_batch</t>
        </is>
      </c>
      <c r="G247" t="inlineStr">
        <is>
          <t>reuse</t>
        </is>
      </c>
      <c r="H247" t="inlineStr">
        <is>
          <t>seed_aws_support_backend_anchor</t>
        </is>
      </c>
      <c r="I247" t="inlineStr">
        <is>
          <t>AWS Support Backend Anchor</t>
        </is>
      </c>
      <c r="J247"/>
      <c r="K247"/>
      <c r="L247"/>
      <c r="M247"/>
      <c r="N247"/>
      <c r="O247"/>
      <c r="P247"/>
      <c r="Q247"/>
      <c r="R247">
        <f>HYPERLINK("https://www.amazon.jobs/jobs/10383566/software-development-engineer-ec-ultraserver-availability?cmpid=SPLICX0248M&amp;utm_source=linkedin.com&amp;utm_campaign=cxro&amp;utm_medium=social_media&amp;utm_content=job_posting&amp;ss=paid","https://www.amazon.jobs/jobs/10383566/software-development-engineer-ec-ultraserver-availability?cmpid=SPLICX0248M&amp;utm_source=linkedin.com&amp;utm_campaign=cxro&amp;utm_medium=social_media&amp;utm_content=job_posting&amp;ss=paid")</f>
      </c>
    </row>
    <row r="248">
      <c r="A248" t="inlineStr">
        <is>
          <t>Reflection AI</t>
        </is>
      </c>
      <c r="B248" t="inlineStr">
        <is>
          <t>2026-04-05 06:40:46</t>
        </is>
      </c>
      <c r="C248" t="inlineStr">
        <is>
          <t>69601d0ea1bbea1d9a7aebc1</t>
        </is>
      </c>
      <c r="D248" t="inlineStr">
        <is>
          <t>Member of Technical Staff - Data Quality Engineer (Pre-training)</t>
        </is>
      </c>
      <c r="E248" t="inlineStr">
        <is>
          <t>1_Discovered</t>
        </is>
      </c>
      <c r="F248" t="inlineStr">
        <is>
          <t>fanout_batch</t>
        </is>
      </c>
      <c r="G248" t="inlineStr">
        <is>
          <t>reuse</t>
        </is>
      </c>
      <c r="H248" t="inlineStr">
        <is>
          <t>seed_h2o_ai_engineer</t>
        </is>
      </c>
      <c r="I248" t="inlineStr">
        <is>
          <t>H2O AI Engineer</t>
        </is>
      </c>
      <c r="J248"/>
      <c r="K248"/>
      <c r="L248"/>
      <c r="M248"/>
      <c r="N248"/>
      <c r="O248"/>
      <c r="P248"/>
      <c r="Q248"/>
      <c r="R248">
        <f>HYPERLINK("https://jobs.ashbyhq.com/reflectionai/3f496904-537e-47fd-8af8-a9b7bc490a0f/application?utm_source=OWYGJ5eP6k&amp;src=LinkedIn","https://jobs.ashbyhq.com/reflectionai/3f496904-537e-47fd-8af8-a9b7bc490a0f/application?utm_source=OWYGJ5eP6k&amp;src=LinkedIn")</f>
      </c>
    </row>
    <row r="249">
      <c r="A249" t="inlineStr">
        <is>
          <t>Hopper</t>
        </is>
      </c>
      <c r="B249" t="inlineStr">
        <is>
          <t>2026-04-05 06:24:46</t>
        </is>
      </c>
      <c r="C249" t="inlineStr">
        <is>
          <t>69460fb363141d188455bea1</t>
        </is>
      </c>
      <c r="D249" t="inlineStr">
        <is>
          <t>Senior Software Engineer - Customer Experience Platform</t>
        </is>
      </c>
      <c r="E249" t="inlineStr">
        <is>
          <t>1_Discovered</t>
        </is>
      </c>
      <c r="F249" t="inlineStr">
        <is>
          <t>fanout_batch</t>
        </is>
      </c>
      <c r="G249" t="inlineStr">
        <is>
          <t>retarget</t>
        </is>
      </c>
      <c r="H249" t="inlineStr">
        <is>
          <t>seed_egen_fullstack_node</t>
        </is>
      </c>
      <c r="I249" t="inlineStr">
        <is>
          <t>Egen Fullstack Node</t>
        </is>
      </c>
      <c r="J249"/>
      <c r="K249"/>
      <c r="L249"/>
      <c r="M249"/>
      <c r="N249">
        <v>96.0</v>
      </c>
      <c r="O249" t="inlineStr">
        <is>
          <t>pass</t>
        </is>
      </c>
      <c r="P249">
        <f>HYPERLINK("file:///Users/jingyizhang/Documents/Playground/projects/local_job_resume_pipeline/data/deliverables/resume_portfolio/by_company/hopper/2026-04-05/69460fb363141d188455bea1/resume.md","/Users/jingyizhang/Documents/Playground/projects/local_job_resume_pipeline/data/deliverables/resume_portfolio/by_company/hopper/2026-04-05/69460fb363141d188455bea1/resume.md")</f>
      </c>
      <c r="Q249"/>
      <c r="R249">
        <f>HYPERLINK("https://jobs.ashbyhq.com/hopper/71d27c3e-0898-46f7-b4e6-5dedc2458d23/application?utm_source=LinkedIn_Job_Wrapping","https://jobs.ashbyhq.com/hopper/71d27c3e-0898-46f7-b4e6-5dedc2458d23/application?utm_source=LinkedIn_Job_Wrapping")</f>
      </c>
    </row>
    <row r="250">
      <c r="A250" t="inlineStr">
        <is>
          <t>DoorDash</t>
        </is>
      </c>
      <c r="B250" t="inlineStr">
        <is>
          <t>2026-04-05 06:09:46</t>
        </is>
      </c>
      <c r="C250" t="inlineStr">
        <is>
          <t>6960846ba1bbea1d9a7b5328</t>
        </is>
      </c>
      <c r="D250" t="inlineStr">
        <is>
          <t>Software Engineer II, Data Engineering</t>
        </is>
      </c>
      <c r="E250" t="inlineStr">
        <is>
          <t>1_Discovered</t>
        </is>
      </c>
      <c r="F250" t="inlineStr">
        <is>
          <t>fanout_batch</t>
        </is>
      </c>
      <c r="G250" t="inlineStr">
        <is>
          <t>reuse</t>
        </is>
      </c>
      <c r="H250" t="inlineStr">
        <is>
          <t>seed_qualified_health_data_engineer</t>
        </is>
      </c>
      <c r="I250" t="inlineStr">
        <is>
          <t>Qualified Health Data Engineer</t>
        </is>
      </c>
      <c r="J250"/>
      <c r="K250"/>
      <c r="L250"/>
      <c r="M250"/>
      <c r="N250"/>
      <c r="O250"/>
      <c r="P250"/>
      <c r="Q250"/>
      <c r="R250">
        <f>HYPERLINK("https://boards.greenhouse.io/embed/job_app?token=6458514&amp;utm_source=jobright","https://boards.greenhouse.io/embed/job_app?token=6458514&amp;utm_source=jobright")</f>
      </c>
    </row>
    <row r="251">
      <c r="A251" t="inlineStr">
        <is>
          <t>Hopper</t>
        </is>
      </c>
      <c r="B251" t="inlineStr">
        <is>
          <t>2026-04-05 06:09:31</t>
        </is>
      </c>
      <c r="C251" t="inlineStr">
        <is>
          <t>69460bf97d506e3808f16216</t>
        </is>
      </c>
      <c r="D251" t="inlineStr">
        <is>
          <t>Senior Software Engineer - Customer Experience Platform</t>
        </is>
      </c>
      <c r="E251" t="inlineStr">
        <is>
          <t>1_Discovered</t>
        </is>
      </c>
      <c r="F251" t="inlineStr">
        <is>
          <t>fanout_batch</t>
        </is>
      </c>
      <c r="G251" t="inlineStr">
        <is>
          <t>retarget</t>
        </is>
      </c>
      <c r="H251" t="inlineStr">
        <is>
          <t>seed_egen_fullstack_node</t>
        </is>
      </c>
      <c r="I251" t="inlineStr">
        <is>
          <t>Egen Fullstack Node</t>
        </is>
      </c>
      <c r="J251"/>
      <c r="K251"/>
      <c r="L251"/>
      <c r="M251"/>
      <c r="N251">
        <v>93.6</v>
      </c>
      <c r="O251" t="inlineStr">
        <is>
          <t>pass</t>
        </is>
      </c>
      <c r="P251">
        <f>HYPERLINK("file:///Users/jingyizhang/Documents/Playground/projects/local_job_resume_pipeline/data/deliverables/resume_portfolio/by_company/hopper/2026-04-05/69460bf97d506e3808f16216/resume.md","/Users/jingyizhang/Documents/Playground/projects/local_job_resume_pipeline/data/deliverables/resume_portfolio/by_company/hopper/2026-04-05/69460bf97d506e3808f16216/resume.md")</f>
      </c>
      <c r="Q251"/>
      <c r="R251">
        <f>HYPERLINK("https://jobs.ashbyhq.com/hopper/783b221a-bb7e-4063-b1eb-c85eed3a92b7/application?utm_source=LinkedIn_Job_Wrapping","https://jobs.ashbyhq.com/hopper/783b221a-bb7e-4063-b1eb-c85eed3a92b7/application?utm_source=LinkedIn_Job_Wrapping")</f>
      </c>
    </row>
    <row r="252">
      <c r="A252" t="inlineStr">
        <is>
          <t>DoorDash</t>
        </is>
      </c>
      <c r="B252" t="inlineStr">
        <is>
          <t>2026-04-05 06:09:27</t>
        </is>
      </c>
      <c r="C252" t="inlineStr">
        <is>
          <t>697d71783f57a33569675632</t>
        </is>
      </c>
      <c r="D252" t="inlineStr">
        <is>
          <t>Machine Learning Engineer, Marketplace Optimization</t>
        </is>
      </c>
      <c r="E252" t="inlineStr">
        <is>
          <t>1_Discovered</t>
        </is>
      </c>
      <c r="F252" t="inlineStr">
        <is>
          <t>fanout_batch</t>
        </is>
      </c>
      <c r="G252" t="inlineStr">
        <is>
          <t>reuse</t>
        </is>
      </c>
      <c r="H252" t="inlineStr">
        <is>
          <t>seed_amazon_agi_ml_anchor</t>
        </is>
      </c>
      <c r="I252" t="inlineStr">
        <is>
          <t>Amazon AGI/LLM Anchor</t>
        </is>
      </c>
      <c r="J252" t="inlineStr">
        <is>
          <t>amazon_ai_ads_mainline</t>
        </is>
      </c>
      <c r="K252" t="inlineStr">
        <is>
          <t>mainline</t>
        </is>
      </c>
      <c r="L252"/>
      <c r="M252"/>
      <c r="N252"/>
      <c r="O252"/>
      <c r="P252"/>
      <c r="Q252"/>
      <c r="R252">
        <f>HYPERLINK("https://boards.greenhouse.io/embed/job_app?token=7580407&amp;utm_source=jobright","https://boards.greenhouse.io/embed/job_app?token=7580407&amp;utm_source=jobright")</f>
      </c>
    </row>
    <row r="253">
      <c r="A253" t="inlineStr">
        <is>
          <t>Cognition</t>
        </is>
      </c>
      <c r="B253" t="inlineStr">
        <is>
          <t>2026-04-05 06:09:03</t>
        </is>
      </c>
      <c r="C253" t="inlineStr">
        <is>
          <t>692bb23f4c474121999ce114</t>
        </is>
      </c>
      <c r="D253" t="inlineStr">
        <is>
          <t>Software Engineer</t>
        </is>
      </c>
      <c r="E253" t="inlineStr">
        <is>
          <t>1_Discovered</t>
        </is>
      </c>
      <c r="F253" t="inlineStr">
        <is>
          <t>fanout_batch</t>
        </is>
      </c>
      <c r="G253" t="inlineStr">
        <is>
          <t>reuse</t>
        </is>
      </c>
      <c r="H253" t="inlineStr">
        <is>
          <t>seed_generalist_dotnet_enterprise</t>
        </is>
      </c>
      <c r="I253" t="inlineStr">
        <is>
          <t>Generalist DotNet Enterprise</t>
        </is>
      </c>
      <c r="J253"/>
      <c r="K253"/>
      <c r="L253"/>
      <c r="M253"/>
      <c r="N253"/>
      <c r="O253"/>
      <c r="P253"/>
      <c r="Q253"/>
      <c r="R253">
        <f>HYPERLINK("https://jobs.ashbyhq.com/cognition/e8086415-62bc-4cc0-96a4-84bb56182d35?src=LinkedIn","https://jobs.ashbyhq.com/cognition/e8086415-62bc-4cc0-96a4-84bb56182d35?src=LinkedIn")</f>
      </c>
    </row>
    <row r="254">
      <c r="A254" t="inlineStr">
        <is>
          <t>Clay</t>
        </is>
      </c>
      <c r="B254" t="inlineStr">
        <is>
          <t>2026-04-05 05:55:04</t>
        </is>
      </c>
      <c r="C254" t="inlineStr">
        <is>
          <t>6998e02481476f6176b146be</t>
        </is>
      </c>
      <c r="D254" t="inlineStr">
        <is>
          <t>GTM Data Analyst</t>
        </is>
      </c>
      <c r="E254" t="inlineStr">
        <is>
          <t>1_Discovered</t>
        </is>
      </c>
      <c r="F254" t="inlineStr">
        <is>
          <t>fanout_batch</t>
        </is>
      </c>
      <c r="G254" t="inlineStr">
        <is>
          <t>retarget</t>
        </is>
      </c>
      <c r="H254" t="inlineStr">
        <is>
          <t>seed_qualified_health_data_engineer</t>
        </is>
      </c>
      <c r="I254" t="inlineStr">
        <is>
          <t>Qualified Health Data Engineer</t>
        </is>
      </c>
      <c r="J254"/>
      <c r="K254"/>
      <c r="L254"/>
      <c r="M254"/>
      <c r="N254">
        <v>73.8</v>
      </c>
      <c r="O254" t="inlineStr">
        <is>
          <t>fail</t>
        </is>
      </c>
      <c r="P254">
        <f>HYPERLINK("file:///Users/jingyizhang/Documents/Playground/projects/local_job_resume_pipeline/data/deliverables/resume_portfolio/by_company/clay/2026-04-05/6998e02481476f6176b146be/resume.md","/Users/jingyizhang/Documents/Playground/projects/local_job_resume_pipeline/data/deliverables/resume_portfolio/by_company/clay/2026-04-05/6998e02481476f6176b146be/resume.md")</f>
      </c>
      <c r="Q254"/>
      <c r="R254">
        <f>HYPERLINK("https://jobs.ashbyhq.com/claylabs/31d3597f-400e-4c12-9692-a5fb6f5e0d03?src=LinkedInJobSlot","https://jobs.ashbyhq.com/claylabs/31d3597f-400e-4c12-9692-a5fb6f5e0d03?src=LinkedInJobSlot")</f>
      </c>
    </row>
    <row r="255">
      <c r="A255" t="inlineStr">
        <is>
          <t>Medpace</t>
        </is>
      </c>
      <c r="B255" t="inlineStr">
        <is>
          <t>2026-04-05 05:54:49</t>
        </is>
      </c>
      <c r="C255" t="inlineStr">
        <is>
          <t>6961e0ffe7ed9a5731baa692</t>
        </is>
      </c>
      <c r="D255" t="inlineStr">
        <is>
          <t>Software Engineer</t>
        </is>
      </c>
      <c r="E255" t="inlineStr">
        <is>
          <t>1_Discovered</t>
        </is>
      </c>
      <c r="F255" t="inlineStr">
        <is>
          <t>fanout_batch</t>
        </is>
      </c>
      <c r="G255" t="inlineStr">
        <is>
          <t>retarget</t>
        </is>
      </c>
      <c r="H255" t="inlineStr">
        <is>
          <t>seed_generalist_dotnet_enterprise</t>
        </is>
      </c>
      <c r="I255" t="inlineStr">
        <is>
          <t>Generalist DotNet Enterprise</t>
        </is>
      </c>
      <c r="J255"/>
      <c r="K255"/>
      <c r="L255"/>
      <c r="M255"/>
      <c r="N255">
        <v>94.3</v>
      </c>
      <c r="O255" t="inlineStr">
        <is>
          <t>pass</t>
        </is>
      </c>
      <c r="P255">
        <f>HYPERLINK("file:///Users/jingyizhang/Documents/Playground/projects/local_job_resume_pipeline/data/deliverables/resume_portfolio/by_company/medpace/2026-04-05/6961e0ffe7ed9a5731baa692/resume.md","/Users/jingyizhang/Documents/Playground/projects/local_job_resume_pipeline/data/deliverables/resume_portfolio/by_company/medpace/2026-04-05/6961e0ffe7ed9a5731baa692/resume.md")</f>
      </c>
      <c r="Q255"/>
      <c r="R255">
        <f>HYPERLINK("https://careers.medpace.com/jobs/12287?lang=en-us&amp;iis=Job%20Board&amp;iisn=LinkedIn","https://careers.medpace.com/jobs/12287?lang=en-us&amp;iis=Job%20Board&amp;iisn=LinkedIn")</f>
      </c>
    </row>
    <row r="256">
      <c r="A256" t="inlineStr">
        <is>
          <t>JPMorganChase</t>
        </is>
      </c>
      <c r="B256" t="inlineStr">
        <is>
          <t>2026-04-05 05:35:01</t>
        </is>
      </c>
      <c r="C256" t="inlineStr">
        <is>
          <t>69a02a9c0836fe79d860f9e2</t>
        </is>
      </c>
      <c r="D256" t="inlineStr">
        <is>
          <t>Software Engineer II- Test Automation</t>
        </is>
      </c>
      <c r="E256" t="inlineStr">
        <is>
          <t>1_Discovered</t>
        </is>
      </c>
      <c r="F256" t="inlineStr">
        <is>
          <t>fanout_batch</t>
        </is>
      </c>
      <c r="G256" t="inlineStr">
        <is>
          <t>retarget</t>
        </is>
      </c>
      <c r="H256" t="inlineStr">
        <is>
          <t>seed_magnite_sdet</t>
        </is>
      </c>
      <c r="I256" t="inlineStr">
        <is>
          <t>Magnite SDET</t>
        </is>
      </c>
      <c r="J256"/>
      <c r="K256"/>
      <c r="L256"/>
      <c r="M256"/>
      <c r="N256">
        <v>94.1</v>
      </c>
      <c r="O256" t="inlineStr">
        <is>
          <t>pass</t>
        </is>
      </c>
      <c r="P256">
        <f>HYPERLINK("file:///Users/jingyizhang/Documents/Playground/projects/local_job_resume_pipeline/data/deliverables/resume_portfolio/by_company/jpmorganchase/2026-04-05/69a02a9c0836fe79d860f9e2/resume.md","/Users/jingyizhang/Documents/Playground/projects/local_job_resume_pipeline/data/deliverables/resume_portfolio/by_company/jpmorganchase/2026-04-05/69a02a9c0836fe79d860f9e2/resume.md")</f>
      </c>
      <c r="Q256"/>
      <c r="R256">
        <f>HYPERLINK("https://JPMorganChase.contacthr.com/151137895","https://JPMorganChase.contacthr.com/151137895")</f>
      </c>
    </row>
    <row r="257">
      <c r="A257" t="inlineStr">
        <is>
          <t>JPMorganChase</t>
        </is>
      </c>
      <c r="B257" t="inlineStr">
        <is>
          <t>2026-04-05 05:34:42</t>
        </is>
      </c>
      <c r="C257" t="inlineStr">
        <is>
          <t>69bef175b106024562845264</t>
        </is>
      </c>
      <c r="D257" t="inlineStr">
        <is>
          <t>Applied AI ML Associate - Payments Operations</t>
        </is>
      </c>
      <c r="E257" t="inlineStr">
        <is>
          <t>1_Discovered</t>
        </is>
      </c>
      <c r="F257" t="inlineStr">
        <is>
          <t>fanout_batch</t>
        </is>
      </c>
      <c r="G257" t="inlineStr">
        <is>
          <t>retarget</t>
        </is>
      </c>
      <c r="H257" t="inlineStr">
        <is>
          <t>seed_h2o_ai_engineer</t>
        </is>
      </c>
      <c r="I257" t="inlineStr">
        <is>
          <t>H2O AI Engineer</t>
        </is>
      </c>
      <c r="J257"/>
      <c r="K257"/>
      <c r="L257"/>
      <c r="M257"/>
      <c r="N257">
        <v>87.5</v>
      </c>
      <c r="O257" t="inlineStr">
        <is>
          <t>fail</t>
        </is>
      </c>
      <c r="P257">
        <f>HYPERLINK("file:///Users/jingyizhang/Documents/Playground/projects/local_job_resume_pipeline/data/deliverables/resume_portfolio/by_company/jpmorganchase/2026-04-05/69bef175b106024562845264/resume.md","/Users/jingyizhang/Documents/Playground/projects/local_job_resume_pipeline/data/deliverables/resume_portfolio/by_company/jpmorganchase/2026-04-05/69bef175b106024562845264/resume.md")</f>
      </c>
      <c r="Q257"/>
      <c r="R257">
        <f>HYPERLINK("https://JPMorganChase.contacthr.com/150849590","https://JPMorganChase.contacthr.com/150849590")</f>
      </c>
    </row>
    <row r="258">
      <c r="A258" t="inlineStr">
        <is>
          <t>WHOOP</t>
        </is>
      </c>
      <c r="B258" t="inlineStr">
        <is>
          <t>2026-04-05 05:34:14</t>
        </is>
      </c>
      <c r="C258" t="inlineStr">
        <is>
          <t>697d6fc23f57a33569675482</t>
        </is>
      </c>
      <c r="D258" t="inlineStr">
        <is>
          <t>Sensor Intelligence Engineer II (Tools &amp; Validation)</t>
        </is>
      </c>
      <c r="E258" t="inlineStr">
        <is>
          <t>1_Discovered</t>
        </is>
      </c>
      <c r="F258" t="inlineStr">
        <is>
          <t>fanout_batch</t>
        </is>
      </c>
      <c r="G258" t="inlineStr">
        <is>
          <t>retarget</t>
        </is>
      </c>
      <c r="H258" t="inlineStr">
        <is>
          <t>seed_h2o_ai_engineer</t>
        </is>
      </c>
      <c r="I258" t="inlineStr">
        <is>
          <t>H2O AI Engineer</t>
        </is>
      </c>
      <c r="J258"/>
      <c r="K258"/>
      <c r="L258"/>
      <c r="M258"/>
      <c r="N258">
        <v>94.7</v>
      </c>
      <c r="O258" t="inlineStr">
        <is>
          <t>pass</t>
        </is>
      </c>
      <c r="P258">
        <f>HYPERLINK("file:///Users/jingyizhang/Documents/Playground/projects/local_job_resume_pipeline/data/deliverables/resume_portfolio/by_company/whoop/2026-04-05/697d6fc23f57a33569675482/resume.md","/Users/jingyizhang/Documents/Playground/projects/local_job_resume_pipeline/data/deliverables/resume_portfolio/by_company/whoop/2026-04-05/697d6fc23f57a33569675482/resume.md")</f>
      </c>
      <c r="Q258"/>
      <c r="R258">
        <f>HYPERLINK("https://jobs.lever.co/whoop/ec3a9615-a9e0-4920-9513-561d8ce35792/apply?lever-source=jobright","https://jobs.lever.co/whoop/ec3a9615-a9e0-4920-9513-561d8ce35792/apply?lever-source=jobright")</f>
      </c>
    </row>
    <row r="259">
      <c r="A259" t="inlineStr">
        <is>
          <t>Venmo</t>
        </is>
      </c>
      <c r="B259" t="inlineStr">
        <is>
          <t>2026-04-05 05:05:03</t>
        </is>
      </c>
      <c r="C259" t="inlineStr">
        <is>
          <t>698fd90c0f6f7e7a2cec1f81</t>
        </is>
      </c>
      <c r="D259" t="inlineStr">
        <is>
          <t>Software Engineer in Test - (Mobile)</t>
        </is>
      </c>
      <c r="E259" t="inlineStr">
        <is>
          <t>1_Discovered</t>
        </is>
      </c>
      <c r="F259" t="inlineStr">
        <is>
          <t>fanout_batch</t>
        </is>
      </c>
      <c r="G259" t="inlineStr">
        <is>
          <t>retarget</t>
        </is>
      </c>
      <c r="H259" t="inlineStr">
        <is>
          <t>seed_magnite_sdet</t>
        </is>
      </c>
      <c r="I259" t="inlineStr">
        <is>
          <t>Magnite SDET</t>
        </is>
      </c>
      <c r="J259"/>
      <c r="K259"/>
      <c r="L259"/>
      <c r="M259"/>
      <c r="N259">
        <v>93.7</v>
      </c>
      <c r="O259" t="inlineStr">
        <is>
          <t>pass</t>
        </is>
      </c>
      <c r="P259">
        <f>HYPERLINK("file:///Users/jingyizhang/Documents/Playground/projects/local_job_resume_pipeline/data/deliverables/resume_portfolio/by_company/venmo/2026-04-05/698fd90c0f6f7e7a2cec1f81/resume.md","/Users/jingyizhang/Documents/Playground/projects/local_job_resume_pipeline/data/deliverables/resume_portfolio/by_company/venmo/2026-04-05/698fd90c0f6f7e7a2cec1f81/resume.md")</f>
      </c>
      <c r="Q259"/>
      <c r="R259">
        <f>HYPERLINK("https://paypal.eightfold.ai/careers?domain=paypal.com&amp;sort_by=relevance&amp;query=R0134871&amp;Codes=W-LINKEDIN","https://paypal.eightfold.ai/careers?domain=paypal.com&amp;sort_by=relevance&amp;query=R0134871&amp;Codes=W-LINKEDIN")</f>
      </c>
    </row>
    <row r="260">
      <c r="A260" t="inlineStr">
        <is>
          <t>CLEAR</t>
        </is>
      </c>
      <c r="B260" t="inlineStr">
        <is>
          <t>2026-04-05 05:04:51</t>
        </is>
      </c>
      <c r="C260" t="inlineStr">
        <is>
          <t>695fe269a112b402660e842a</t>
        </is>
      </c>
      <c r="D260" t="inlineStr">
        <is>
          <t>Data Scientist II</t>
        </is>
      </c>
      <c r="E260" t="inlineStr">
        <is>
          <t>1_Discovered</t>
        </is>
      </c>
      <c r="F260" t="inlineStr">
        <is>
          <t>fanout_batch</t>
        </is>
      </c>
      <c r="G260" t="inlineStr">
        <is>
          <t>retarget</t>
        </is>
      </c>
      <c r="H260" t="inlineStr">
        <is>
          <t>seed_h2o_ai_engineer</t>
        </is>
      </c>
      <c r="I260" t="inlineStr">
        <is>
          <t>H2O AI Engineer</t>
        </is>
      </c>
      <c r="J260"/>
      <c r="K260"/>
      <c r="L260"/>
      <c r="M260"/>
      <c r="N260">
        <v>93.5</v>
      </c>
      <c r="O260" t="inlineStr">
        <is>
          <t>pass</t>
        </is>
      </c>
      <c r="P260">
        <f>HYPERLINK("file:///Users/jingyizhang/Documents/Playground/projects/local_job_resume_pipeline/data/deliverables/resume_portfolio/by_company/clear/2026-04-05/695fe269a112b402660e842a/resume.md","/Users/jingyizhang/Documents/Playground/projects/local_job_resume_pipeline/data/deliverables/resume_portfolio/by_company/clear/2026-04-05/695fe269a112b402660e842a/resume.md")</f>
      </c>
      <c r="Q260"/>
      <c r="R260">
        <f>HYPERLINK("https://boards.greenhouse.io/embed/job_app?token=7483038&amp;utm_source=jobright","https://boards.greenhouse.io/embed/job_app?token=7483038&amp;utm_source=jobright")</f>
      </c>
    </row>
    <row r="261">
      <c r="A261" t="inlineStr">
        <is>
          <t>PayPal</t>
        </is>
      </c>
      <c r="B261" t="inlineStr">
        <is>
          <t>2026-04-05 05:04:45</t>
        </is>
      </c>
      <c r="C261" t="inlineStr">
        <is>
          <t>697d25053f57a3356966dedf</t>
        </is>
      </c>
      <c r="D261" t="inlineStr">
        <is>
          <t>Software Engineer - Backend</t>
        </is>
      </c>
      <c r="E261" t="inlineStr">
        <is>
          <t>1_Discovered</t>
        </is>
      </c>
      <c r="F261" t="inlineStr">
        <is>
          <t>fanout_batch</t>
        </is>
      </c>
      <c r="G261" t="inlineStr">
        <is>
          <t>reuse</t>
        </is>
      </c>
      <c r="H261" t="inlineStr">
        <is>
          <t>seed_paypal_java_backend</t>
        </is>
      </c>
      <c r="I261" t="inlineStr">
        <is>
          <t>PayPal Java Backend</t>
        </is>
      </c>
      <c r="J261"/>
      <c r="K261"/>
      <c r="L261"/>
      <c r="M261"/>
      <c r="N261"/>
      <c r="O261"/>
      <c r="P261"/>
      <c r="Q261"/>
      <c r="R261">
        <f>HYPERLINK("https://paypal.eightfold.ai/careers?domain=paypal.com&amp;sort_by=relevance&amp;query=R0131092&amp;Codes=W-LINKEDIN","https://paypal.eightfold.ai/careers?domain=paypal.com&amp;sort_by=relevance&amp;query=R0131092&amp;Codes=W-LINKEDIN")</f>
      </c>
    </row>
    <row r="262">
      <c r="A262" t="inlineStr">
        <is>
          <t>Clearwater Analytics</t>
        </is>
      </c>
      <c r="B262" t="inlineStr">
        <is>
          <t>2026-04-05 05:03:56</t>
        </is>
      </c>
      <c r="C262" t="inlineStr">
        <is>
          <t>696178e8e7ed9a5731ba4121</t>
        </is>
      </c>
      <c r="D262" t="inlineStr">
        <is>
          <t>Software Development Engineer III</t>
        </is>
      </c>
      <c r="E262" t="inlineStr">
        <is>
          <t>1_Discovered</t>
        </is>
      </c>
      <c r="F262" t="inlineStr">
        <is>
          <t>fanout_batch</t>
        </is>
      </c>
      <c r="G262" t="inlineStr">
        <is>
          <t>reuse</t>
        </is>
      </c>
      <c r="H262" t="inlineStr">
        <is>
          <t>seed_paypal_java_backend</t>
        </is>
      </c>
      <c r="I262" t="inlineStr">
        <is>
          <t>PayPal Java Backend</t>
        </is>
      </c>
      <c r="J262"/>
      <c r="K262"/>
      <c r="L262"/>
      <c r="M262"/>
      <c r="N262"/>
      <c r="O262"/>
      <c r="P262"/>
      <c r="Q262"/>
      <c r="R262">
        <f>HYPERLINK("https://clearwateranalytics.wd1.myworkdayjobs.com/Clearwater_Analytics_Careers/job/Office---New-York/Software-Development-Engineer-III_JR103627?source=LinkedIn","https://clearwateranalytics.wd1.myworkdayjobs.com/Clearwater_Analytics_Careers/job/Office---New-York/Software-Development-Engineer-III_JR103627?source=LinkedIn")</f>
      </c>
    </row>
    <row r="263">
      <c r="A263" t="inlineStr">
        <is>
          <t>Adobe</t>
        </is>
      </c>
      <c r="B263" t="inlineStr">
        <is>
          <t>2026-04-05 04:22:38</t>
        </is>
      </c>
      <c r="C263" t="inlineStr">
        <is>
          <t>68d1fb47a54edb3bf3e18553</t>
        </is>
      </c>
      <c r="D263" t="inlineStr">
        <is>
          <t>2026 University Graduate - Machine Learning Engineer</t>
        </is>
      </c>
      <c r="E263" t="inlineStr">
        <is>
          <t>1_Discovered</t>
        </is>
      </c>
      <c r="F263" t="inlineStr">
        <is>
          <t>fanout_batch</t>
        </is>
      </c>
      <c r="G263" t="inlineStr">
        <is>
          <t>reuse</t>
        </is>
      </c>
      <c r="H263" t="inlineStr">
        <is>
          <t>seed_bytedance_ml_grad</t>
        </is>
      </c>
      <c r="I263" t="inlineStr">
        <is>
          <t>ByteDance ML Grad</t>
        </is>
      </c>
      <c r="J263"/>
      <c r="K263"/>
      <c r="L263"/>
      <c r="M263"/>
      <c r="N263"/>
      <c r="O263"/>
      <c r="P263"/>
      <c r="Q263"/>
      <c r="R263">
        <f>HYPERLINK("https://careers.adobe.com/us/en/job/ADOBUSR160133EXTERNALENUS/2026-University-Graduate-Machine-Learning-Engineer?utm_source=linkedin&amp;utm_medium=phenom-feeds&amp;source=LinkedIn","https://careers.adobe.com/us/en/job/ADOBUSR160133EXTERNALENUS/2026-University-Graduate-Machine-Learning-Engineer?utm_source=linkedin&amp;utm_medium=phenom-feeds&amp;source=LinkedIn")</f>
      </c>
    </row>
    <row r="264">
      <c r="A264" t="inlineStr">
        <is>
          <t>Adobe</t>
        </is>
      </c>
      <c r="B264" t="inlineStr">
        <is>
          <t>2026-04-05 04:22:29</t>
        </is>
      </c>
      <c r="C264" t="inlineStr">
        <is>
          <t>690d2c2f221b890c278043d0</t>
        </is>
      </c>
      <c r="D264" t="inlineStr">
        <is>
          <t>Software Development Engineer</t>
        </is>
      </c>
      <c r="E264" t="inlineStr">
        <is>
          <t>1_Discovered</t>
        </is>
      </c>
      <c r="F264" t="inlineStr">
        <is>
          <t>fanout_batch</t>
        </is>
      </c>
      <c r="G264" t="inlineStr">
        <is>
          <t>retarget</t>
        </is>
      </c>
      <c r="H264" t="inlineStr">
        <is>
          <t>seed_fullstack_dotnet_azure</t>
        </is>
      </c>
      <c r="I264" t="inlineStr">
        <is>
          <t>Fullstack DotNet Azure</t>
        </is>
      </c>
      <c r="J264"/>
      <c r="K264"/>
      <c r="L264"/>
      <c r="M264"/>
      <c r="N264">
        <v>88.7</v>
      </c>
      <c r="O264" t="inlineStr">
        <is>
          <t>conditional_pass</t>
        </is>
      </c>
      <c r="P264">
        <f>HYPERLINK("file:///Users/jingyizhang/Documents/Playground/projects/local_job_resume_pipeline/data/deliverables/resume_portfolio/by_company/adobe/2026-04-05/690d2c2f221b890c278043d0/resume.md","/Users/jingyizhang/Documents/Playground/projects/local_job_resume_pipeline/data/deliverables/resume_portfolio/by_company/adobe/2026-04-05/690d2c2f221b890c278043d0/resume.md")</f>
      </c>
      <c r="Q264"/>
      <c r="R264">
        <f>HYPERLINK("https://careers.adobe.com/us/en/job/ADOBUSR162057EXTERNALENUS/Software-Development-Engineer?utm_source=linkedin&amp;utm_medium=phenom-feeds&amp;source=LinkedIn","https://careers.adobe.com/us/en/job/ADOBUSR162057EXTERNALENUS/Software-Development-Engineer?utm_source=linkedin&amp;utm_medium=phenom-feeds&amp;source=LinkedIn")</f>
      </c>
    </row>
    <row r="265">
      <c r="A265" t="inlineStr">
        <is>
          <t>Optum</t>
        </is>
      </c>
      <c r="B265" t="inlineStr">
        <is>
          <t>2026-04-05 04:10:37</t>
        </is>
      </c>
      <c r="C265" t="inlineStr">
        <is>
          <t>69d23b090b098b7a67087951</t>
        </is>
      </c>
      <c r="D265" t="inlineStr">
        <is>
          <t>Senior Software Engineer - Basking Ridge, NJ</t>
        </is>
      </c>
      <c r="E265" t="inlineStr">
        <is>
          <t>1_Discovered</t>
        </is>
      </c>
      <c r="F265" t="inlineStr">
        <is>
          <t>fanout_batch</t>
        </is>
      </c>
      <c r="G265" t="inlineStr">
        <is>
          <t>retarget</t>
        </is>
      </c>
      <c r="H265" t="inlineStr">
        <is>
          <t>seed_paypal_java_backend</t>
        </is>
      </c>
      <c r="I265" t="inlineStr">
        <is>
          <t>PayPal Java Backend</t>
        </is>
      </c>
      <c r="J265"/>
      <c r="K265"/>
      <c r="L265"/>
      <c r="M265"/>
      <c r="N265">
        <v>94.1</v>
      </c>
      <c r="O265" t="inlineStr">
        <is>
          <t>pass</t>
        </is>
      </c>
      <c r="P265">
        <f>HYPERLINK("file:///Users/jingyizhang/Documents/Playground/projects/local_job_resume_pipeline/data/deliverables/resume_portfolio/by_company/optum/2026-04-05/69d23b090b098b7a67087951/resume.md","/Users/jingyizhang/Documents/Playground/projects/local_job_resume_pipeline/data/deliverables/resume_portfolio/by_company/optum/2026-04-05/69d23b090b098b7a67087951/resume.md")</f>
      </c>
      <c r="Q265"/>
      <c r="R265">
        <f>HYPERLINK("https://www.indeed.com/viewjob?jk=7f8d86e637a87630","https://www.indeed.com/viewjob?jk=7f8d86e637a87630")</f>
      </c>
    </row>
    <row r="266">
      <c r="A266" t="inlineStr">
        <is>
          <t>ZipRecruiter</t>
        </is>
      </c>
      <c r="B266" t="inlineStr">
        <is>
          <t>2026-04-05 03:20:32</t>
        </is>
      </c>
      <c r="C266" t="inlineStr">
        <is>
          <t>68ee8246e0db924225806fcc</t>
        </is>
      </c>
      <c r="D266" t="inlineStr">
        <is>
          <t>Senior Software Engineer, Machine Learning</t>
        </is>
      </c>
      <c r="E266" t="inlineStr">
        <is>
          <t>1_Discovered</t>
        </is>
      </c>
      <c r="F266" t="inlineStr">
        <is>
          <t>fanout_batch</t>
        </is>
      </c>
      <c r="G266" t="inlineStr">
        <is>
          <t>reuse</t>
        </is>
      </c>
      <c r="H266" t="inlineStr">
        <is>
          <t>seed_bytedance_ml_grad</t>
        </is>
      </c>
      <c r="I266" t="inlineStr">
        <is>
          <t>ByteDance ML Grad</t>
        </is>
      </c>
      <c r="J266"/>
      <c r="K266"/>
      <c r="L266"/>
      <c r="M266"/>
      <c r="N266"/>
      <c r="O266"/>
      <c r="P266"/>
      <c r="Q266"/>
      <c r="R266">
        <f>HYPERLINK("https://boards.greenhouse.io/embed/job_app?token=5167470&amp;utm_source=jobright","https://boards.greenhouse.io/embed/job_app?token=5167470&amp;utm_source=jobright")</f>
      </c>
    </row>
    <row r="267">
      <c r="A267" t="inlineStr">
        <is>
          <t>Canonical</t>
        </is>
      </c>
      <c r="B267" t="inlineStr">
        <is>
          <t>2026-04-05 01:09:40</t>
        </is>
      </c>
      <c r="C267" t="inlineStr">
        <is>
          <t>69d1fca4891d7b11cfce80f6</t>
        </is>
      </c>
      <c r="D267" t="inlineStr">
        <is>
          <t>Software Engineer - Cloud Images</t>
        </is>
      </c>
      <c r="E267" t="inlineStr">
        <is>
          <t>1_Discovered</t>
        </is>
      </c>
      <c r="F267" t="inlineStr">
        <is>
          <t>fanout_batch</t>
        </is>
      </c>
      <c r="G267" t="inlineStr">
        <is>
          <t>reuse</t>
        </is>
      </c>
      <c r="H267" t="inlineStr">
        <is>
          <t>seed_fireblocks_sre_anchor</t>
        </is>
      </c>
      <c r="I267" t="inlineStr">
        <is>
          <t>Fireblocks SRE Anchor</t>
        </is>
      </c>
      <c r="J267"/>
      <c r="K267"/>
      <c r="L267"/>
      <c r="M267"/>
      <c r="N267"/>
      <c r="O267"/>
      <c r="P267"/>
      <c r="Q267"/>
      <c r="R267">
        <f>HYPERLINK("https://boards.greenhouse.io/embed/job_app?token=7614834&amp;utm_source=jobright","https://boards.greenhouse.io/embed/job_app?token=7614834&amp;utm_source=jobright")</f>
      </c>
    </row>
    <row r="268">
      <c r="A268" t="inlineStr">
        <is>
          <t>Canonical</t>
        </is>
      </c>
      <c r="B268" t="inlineStr">
        <is>
          <t>2026-04-05 01:07:23</t>
        </is>
      </c>
      <c r="C268" t="inlineStr">
        <is>
          <t>69d1fc1b366bb95ba552b06f</t>
        </is>
      </c>
      <c r="D268" t="inlineStr">
        <is>
          <t>Software Engineer, Sustaining Engineering</t>
        </is>
      </c>
      <c r="E268" t="inlineStr">
        <is>
          <t>1_Discovered</t>
        </is>
      </c>
      <c r="F268" t="inlineStr">
        <is>
          <t>fanout_batch</t>
        </is>
      </c>
      <c r="G268" t="inlineStr">
        <is>
          <t>reuse</t>
        </is>
      </c>
      <c r="H268" t="inlineStr">
        <is>
          <t>seed_aws_support_backend_anchor</t>
        </is>
      </c>
      <c r="I268" t="inlineStr">
        <is>
          <t>AWS Support Backend Anchor</t>
        </is>
      </c>
      <c r="J268"/>
      <c r="K268"/>
      <c r="L268"/>
      <c r="M268"/>
      <c r="N268"/>
      <c r="O268"/>
      <c r="P268"/>
      <c r="Q268"/>
      <c r="R268">
        <f>HYPERLINK("https://boards.greenhouse.io/embed/job_app?token=7639885&amp;utm_source=jobright","https://boards.greenhouse.io/embed/job_app?token=7639885&amp;utm_source=jobright")</f>
      </c>
    </row>
    <row r="269">
      <c r="A269" t="inlineStr">
        <is>
          <t>Sandbar</t>
        </is>
      </c>
      <c r="B269" t="inlineStr">
        <is>
          <t>2026-04-04 21:15:30</t>
        </is>
      </c>
      <c r="C269" t="inlineStr">
        <is>
          <t>69d1c5c2366bb95ba5528f63</t>
        </is>
      </c>
      <c r="D269" t="inlineStr">
        <is>
          <t>Senior ML/AI Engineer</t>
        </is>
      </c>
      <c r="E269" t="inlineStr">
        <is>
          <t>1_Discovered</t>
        </is>
      </c>
      <c r="F269" t="inlineStr">
        <is>
          <t>retarget_trial</t>
        </is>
      </c>
      <c r="G269" t="inlineStr">
        <is>
          <t>reuse</t>
        </is>
      </c>
      <c r="H269" t="inlineStr">
        <is>
          <t>seed_bytedance_ml_grad</t>
        </is>
      </c>
      <c r="I269" t="inlineStr">
        <is>
          <t>ByteDance ML Grad</t>
        </is>
      </c>
      <c r="J269"/>
      <c r="K269"/>
      <c r="L269"/>
      <c r="M269"/>
      <c r="N269"/>
      <c r="O269"/>
      <c r="P269"/>
      <c r="Q269"/>
      <c r="R269">
        <f>HYPERLINK("https://jobs.ashbyhq.com/sandbar/ce41a03c-beed-4614-985e-f84347982965/application?utm_source=KxGpN98gMP","https://jobs.ashbyhq.com/sandbar/ce41a03c-beed-4614-985e-f84347982965/application?utm_source=KxGpN98gMP")</f>
      </c>
    </row>
    <row r="270">
      <c r="A270" t="inlineStr">
        <is>
          <t>Microsoft</t>
        </is>
      </c>
      <c r="B270" t="inlineStr">
        <is>
          <t>2026-04-04 19:50:59</t>
        </is>
      </c>
      <c r="C270" t="inlineStr">
        <is>
          <t>69d1b1f3cfdc6132f9445015</t>
        </is>
      </c>
      <c r="D270" t="inlineStr">
        <is>
          <t>Software Engineer</t>
        </is>
      </c>
      <c r="E270" t="inlineStr">
        <is>
          <t>1_Discovered</t>
        </is>
      </c>
      <c r="F270" t="inlineStr">
        <is>
          <t>fanout_batch</t>
        </is>
      </c>
      <c r="G270" t="inlineStr">
        <is>
          <t>reuse</t>
        </is>
      </c>
      <c r="H270" t="inlineStr">
        <is>
          <t>seed_microsoft_polyglot_generalist</t>
        </is>
      </c>
      <c r="I270" t="inlineStr">
        <is>
          <t>Microsoft Polyglot Generalist</t>
        </is>
      </c>
      <c r="J270"/>
      <c r="K270"/>
      <c r="L270"/>
      <c r="M270"/>
      <c r="N270"/>
      <c r="O270"/>
      <c r="P270"/>
      <c r="Q270"/>
      <c r="R270">
        <f>HYPERLINK("https://apply.careers.microsoft.com/careers/job/1970393556746655?utm_source=linkedin&amp;domain=microsoft.com&amp;src=LinkedIn","https://apply.careers.microsoft.com/careers/job/1970393556746655?utm_source=linkedin&amp;domain=microsoft.com&amp;src=LinkedIn")</f>
      </c>
    </row>
    <row r="271">
      <c r="A271" t="inlineStr">
        <is>
          <t>Medidata Solutions</t>
        </is>
      </c>
      <c r="B271" t="inlineStr">
        <is>
          <t>2026-04-04 18:50:17</t>
        </is>
      </c>
      <c r="C271" t="inlineStr">
        <is>
          <t>69d189eb366bb95ba5526fce</t>
        </is>
      </c>
      <c r="D271" t="inlineStr">
        <is>
          <t>Data Scientist</t>
        </is>
      </c>
      <c r="E271" t="inlineStr">
        <is>
          <t>1_Discovered</t>
        </is>
      </c>
      <c r="F271" t="inlineStr">
        <is>
          <t>fanout_batch</t>
        </is>
      </c>
      <c r="G271" t="inlineStr">
        <is>
          <t>retarget</t>
        </is>
      </c>
      <c r="H271" t="inlineStr">
        <is>
          <t>seed_jpmc_data_mlops_anchor</t>
        </is>
      </c>
      <c r="I271" t="inlineStr">
        <is>
          <t>JPMorganChase Data Platform/MLOps Anchor</t>
        </is>
      </c>
      <c r="J271" t="inlineStr">
        <is>
          <t>jpmc_data_mlops_mainline</t>
        </is>
      </c>
      <c r="K271" t="inlineStr">
        <is>
          <t>mainline</t>
        </is>
      </c>
      <c r="L271"/>
      <c r="M271"/>
      <c r="N271">
        <v>94.8</v>
      </c>
      <c r="O271" t="inlineStr">
        <is>
          <t>pass</t>
        </is>
      </c>
      <c r="P271">
        <f>HYPERLINK("file:///Users/jingyizhang/Documents/Playground/projects/local_job_resume_pipeline/data/deliverables/resume_portfolio/by_company/medidata-solutions/2026-04-04/69d189eb366bb95ba5526fce/resume.md","/Users/jingyizhang/Documents/Playground/projects/local_job_resume_pipeline/data/deliverables/resume_portfolio/by_company/medidata-solutions/2026-04-04/69d189eb366bb95ba5526fce/resume.md")</f>
      </c>
      <c r="Q271"/>
      <c r="R271">
        <f>HYPERLINK("https://www.medidata.com/en/careers/data-scientist-546727/job/","https://www.medidata.com/en/careers/data-scientist-546727/job/")</f>
      </c>
    </row>
    <row r="272">
      <c r="A272" t="inlineStr">
        <is>
          <t>H2O.ai</t>
        </is>
      </c>
      <c r="B272" t="inlineStr">
        <is>
          <t>2026-04-04 16:15:16</t>
        </is>
      </c>
      <c r="C272" t="inlineStr">
        <is>
          <t>69c7e74e1818a24cd84d2416</t>
        </is>
      </c>
      <c r="D272" t="inlineStr">
        <is>
          <t>AI Engineer</t>
        </is>
      </c>
      <c r="E272" t="inlineStr">
        <is>
          <t>1_Discovered</t>
        </is>
      </c>
      <c r="F272" t="inlineStr">
        <is>
          <t>fanout_batch</t>
        </is>
      </c>
      <c r="G272" t="inlineStr">
        <is>
          <t>reuse</t>
        </is>
      </c>
      <c r="H272" t="inlineStr">
        <is>
          <t>seed_h2o_ai_engineer</t>
        </is>
      </c>
      <c r="I272" t="inlineStr">
        <is>
          <t>H2O AI Engineer</t>
        </is>
      </c>
      <c r="J272"/>
      <c r="K272"/>
      <c r="L272"/>
      <c r="M272"/>
      <c r="N272"/>
      <c r="O272"/>
      <c r="P272"/>
      <c r="Q272"/>
      <c r="R272">
        <f>HYPERLINK("https://www.linkedin.com/jobs/view/4392095303","https://www.linkedin.com/jobs/view/4392095303")</f>
      </c>
    </row>
    <row r="273">
      <c r="A273" t="inlineStr">
        <is>
          <t>Capital One</t>
        </is>
      </c>
      <c r="B273" t="inlineStr">
        <is>
          <t>2026-04-04 13:57:29</t>
        </is>
      </c>
      <c r="C273" t="inlineStr">
        <is>
          <t>69b48ede06c1ba00c5460f00</t>
        </is>
      </c>
      <c r="D273" t="inlineStr">
        <is>
          <t>Manager, Data Scientist - Financial Services</t>
        </is>
      </c>
      <c r="E273" t="inlineStr">
        <is>
          <t>1_Discovered</t>
        </is>
      </c>
      <c r="F273" t="inlineStr">
        <is>
          <t>fanout_batch</t>
        </is>
      </c>
      <c r="G273" t="inlineStr">
        <is>
          <t>reuse</t>
        </is>
      </c>
      <c r="H273" t="inlineStr">
        <is>
          <t>seed_plaid_data_scientist</t>
        </is>
      </c>
      <c r="I273" t="inlineStr">
        <is>
          <t>Plaid Data Scientist</t>
        </is>
      </c>
      <c r="J273"/>
      <c r="K273"/>
      <c r="L273"/>
      <c r="M273"/>
      <c r="N273"/>
      <c r="O273"/>
      <c r="P273"/>
      <c r="Q273"/>
      <c r="R273">
        <f>HYPERLINK("https://www.capitalonecareers.com/job/-/-/234/92692525888?p_sid=2ELOJsb&amp;p_uid=V8Iy6Bwfiu&amp;source=jobright&amp;ss=paid&amp;utm_campaign=data_science_toh_26&amp;utm_content=pj_board&amp;utm_medium=jobad&amp;utm_source=jobright","https://www.capitalonecareers.com/job/-/-/234/92692525888?p_sid=2ELOJsb&amp;p_uid=V8Iy6Bwfiu&amp;source=jobright&amp;ss=paid&amp;utm_campaign=data_science_toh_26&amp;utm_content=pj_board&amp;utm_medium=jobad&amp;utm_source=jobright")</f>
      </c>
    </row>
    <row r="274">
      <c r="A274" t="inlineStr">
        <is>
          <t>Capital One</t>
        </is>
      </c>
      <c r="B274" t="inlineStr">
        <is>
          <t>2026-04-04 13:57:03</t>
        </is>
      </c>
      <c r="C274" t="inlineStr">
        <is>
          <t>697ba5b80b88cc7d6422756c</t>
        </is>
      </c>
      <c r="D274" t="inlineStr">
        <is>
          <t>Senior Associate, Data Scientist - Risk Management Product</t>
        </is>
      </c>
      <c r="E274" t="inlineStr">
        <is>
          <t>1_Discovered</t>
        </is>
      </c>
      <c r="F274" t="inlineStr">
        <is>
          <t>fanout_batch</t>
        </is>
      </c>
      <c r="G274" t="inlineStr">
        <is>
          <t>retarget</t>
        </is>
      </c>
      <c r="H274" t="inlineStr">
        <is>
          <t>seed_plaid_data_scientist</t>
        </is>
      </c>
      <c r="I274" t="inlineStr">
        <is>
          <t>Plaid Data Scientist</t>
        </is>
      </c>
      <c r="J274"/>
      <c r="K274"/>
      <c r="L274"/>
      <c r="M274"/>
      <c r="N274">
        <v>93.6</v>
      </c>
      <c r="O274" t="inlineStr">
        <is>
          <t>pass</t>
        </is>
      </c>
      <c r="P274">
        <f>HYPERLINK("file:///Users/jingyizhang/Documents/Playground/projects/local_job_resume_pipeline/data/deliverables/resume_portfolio/by_company/capital-one/2026-04-04/697ba5b80b88cc7d6422756c/resume.md","/Users/jingyizhang/Documents/Playground/projects/local_job_resume_pipeline/data/deliverables/resume_portfolio/by_company/capital-one/2026-04-04/697ba5b80b88cc7d6422756c/resume.md")</f>
      </c>
      <c r="Q274"/>
      <c r="R274">
        <f>HYPERLINK("https://www.capitalonecareers.com/job/-/-/234/91125016528?p_sid=AUiOQZb&amp;p_uid=onLNb90n5n&amp;source=jobright&amp;ss=paid&amp;utm_campaign=data_science_toh_26&amp;utm_content=pj_board&amp;utm_medium=jobad&amp;utm_source=jobright","https://www.capitalonecareers.com/job/-/-/234/91125016528?p_sid=AUiOQZb&amp;p_uid=onLNb90n5n&amp;source=jobright&amp;ss=paid&amp;utm_campaign=data_science_toh_26&amp;utm_content=pj_board&amp;utm_medium=jobad&amp;utm_source=jobright")</f>
      </c>
    </row>
    <row r="275">
      <c r="A275" t="inlineStr">
        <is>
          <t>Twilio</t>
        </is>
      </c>
      <c r="B275" t="inlineStr">
        <is>
          <t>2026-04-04 13:57:01</t>
        </is>
      </c>
      <c r="C275" t="inlineStr">
        <is>
          <t>69c8be9783ea553769feb995</t>
        </is>
      </c>
      <c r="D275" t="inlineStr">
        <is>
          <t>Android Engineer - P3 - Security + Identity</t>
        </is>
      </c>
      <c r="E275" t="inlineStr">
        <is>
          <t>1_Discovered</t>
        </is>
      </c>
      <c r="F275" t="inlineStr">
        <is>
          <t>fanout_batch</t>
        </is>
      </c>
      <c r="G275" t="inlineStr">
        <is>
          <t>retarget</t>
        </is>
      </c>
      <c r="H275" t="inlineStr">
        <is>
          <t>seed_fireblocks_sre_anchor</t>
        </is>
      </c>
      <c r="I275" t="inlineStr">
        <is>
          <t>Fireblocks SRE Anchor</t>
        </is>
      </c>
      <c r="J275"/>
      <c r="K275"/>
      <c r="L275"/>
      <c r="M275"/>
      <c r="N275">
        <v>93.9</v>
      </c>
      <c r="O275" t="inlineStr">
        <is>
          <t>pass</t>
        </is>
      </c>
      <c r="P275">
        <f>HYPERLINK("file:///Users/jingyizhang/Documents/Playground/projects/local_job_resume_pipeline/data/deliverables/resume_portfolio/by_company/twilio/2026-04-04/69c8be9783ea553769feb995/resume.md","/Users/jingyizhang/Documents/Playground/projects/local_job_resume_pipeline/data/deliverables/resume_portfolio/by_company/twilio/2026-04-04/69c8be9783ea553769feb995/resume.md")</f>
      </c>
      <c r="Q275"/>
      <c r="R275">
        <f>HYPERLINK("https://jobs.twilio.com/careers/job/1099549443761?domain=twilio.com&amp;src=LinkedIn","https://jobs.twilio.com/careers/job/1099549443761?domain=twilio.com&amp;src=LinkedIn")</f>
      </c>
    </row>
    <row r="276">
      <c r="A276" t="inlineStr">
        <is>
          <t>Capital One</t>
        </is>
      </c>
      <c r="B276" t="inlineStr">
        <is>
          <t>2026-04-04 13:39:29</t>
        </is>
      </c>
      <c r="C276" t="inlineStr">
        <is>
          <t>69b412be3b74eb1e2c811e87</t>
        </is>
      </c>
      <c r="D276" t="inlineStr">
        <is>
          <t>Senior Associate, Data Scientist -  Model Risk Office</t>
        </is>
      </c>
      <c r="E276" t="inlineStr">
        <is>
          <t>1_Discovered</t>
        </is>
      </c>
      <c r="F276" t="inlineStr">
        <is>
          <t>fanout_batch</t>
        </is>
      </c>
      <c r="G276" t="inlineStr">
        <is>
          <t>retarget</t>
        </is>
      </c>
      <c r="H276" t="inlineStr">
        <is>
          <t>seed_plaid_data_scientist</t>
        </is>
      </c>
      <c r="I276" t="inlineStr">
        <is>
          <t>Plaid Data Scientist</t>
        </is>
      </c>
      <c r="J276"/>
      <c r="K276"/>
      <c r="L276"/>
      <c r="M276"/>
      <c r="N276">
        <v>96.1</v>
      </c>
      <c r="O276" t="inlineStr">
        <is>
          <t>pass</t>
        </is>
      </c>
      <c r="P276">
        <f>HYPERLINK("file:///Users/jingyizhang/Documents/Playground/projects/local_job_resume_pipeline/data/deliverables/resume_portfolio/by_company/capital-one/2026-04-04/69b412be3b74eb1e2c811e87/resume.md","/Users/jingyizhang/Documents/Playground/projects/local_job_resume_pipeline/data/deliverables/resume_portfolio/by_company/capital-one/2026-04-04/69b412be3b74eb1e2c811e87/resume.md")</f>
      </c>
      <c r="Q276"/>
      <c r="R276">
        <f>HYPERLINK("https://www.capitalonecareers.com/job/-/-/234/90384230144?p_sid=KKTKnJb&amp;p_uid=DlDaT3R7pD&amp;source=jobright&amp;ss=paid&amp;utm_campaign=data_science_toh_26&amp;utm_content=pj_board&amp;utm_medium=jobad&amp;utm_source=jobright","https://www.capitalonecareers.com/job/-/-/234/90384230144?p_sid=KKTKnJb&amp;p_uid=DlDaT3R7pD&amp;source=jobright&amp;ss=paid&amp;utm_campaign=data_science_toh_26&amp;utm_content=pj_board&amp;utm_medium=jobad&amp;utm_source=jobright")</f>
      </c>
    </row>
    <row r="277">
      <c r="A277" t="inlineStr">
        <is>
          <t>MSX International</t>
        </is>
      </c>
      <c r="B277" t="inlineStr">
        <is>
          <t>2026-04-04 13:39:03</t>
        </is>
      </c>
      <c r="C277" t="inlineStr">
        <is>
          <t>697d23a3137a051025661bfb</t>
        </is>
      </c>
      <c r="D277" t="inlineStr">
        <is>
          <t>Data Analyst</t>
        </is>
      </c>
      <c r="E277" t="inlineStr">
        <is>
          <t>1_Discovered</t>
        </is>
      </c>
      <c r="F277" t="inlineStr">
        <is>
          <t>fanout_batch</t>
        </is>
      </c>
      <c r="G277" t="inlineStr">
        <is>
          <t>retarget</t>
        </is>
      </c>
      <c r="H277" t="inlineStr">
        <is>
          <t>seed_h2o_ai_engineer</t>
        </is>
      </c>
      <c r="I277" t="inlineStr">
        <is>
          <t>H2O AI Engineer</t>
        </is>
      </c>
      <c r="J277"/>
      <c r="K277"/>
      <c r="L277"/>
      <c r="M277"/>
      <c r="N277">
        <v>85.3</v>
      </c>
      <c r="O277" t="inlineStr">
        <is>
          <t>fail</t>
        </is>
      </c>
      <c r="P277">
        <f>HYPERLINK("file:///Users/jingyizhang/Documents/Playground/projects/local_job_resume_pipeline/data/deliverables/resume_portfolio/by_company/msx-international/2026-04-04/697d23a3137a051025661bfb/resume.md","/Users/jingyizhang/Documents/Playground/projects/local_job_resume_pipeline/data/deliverables/resume_portfolio/by_company/msx-international/2026-04-04/697d23a3137a051025661bfb/resume.md")</f>
      </c>
      <c r="Q277"/>
      <c r="R277">
        <f>HYPERLINK("https://jobs.smartrecruiters.com/MSXInternational/3743990011442466-data-analyst?trid=2d92f286-613b-4daf-9dfa-6340ffbecf73","https://jobs.smartrecruiters.com/MSXInternational/3743990011442466-data-analyst?trid=2d92f286-613b-4daf-9dfa-6340ffbecf73")</f>
      </c>
    </row>
    <row r="278">
      <c r="A278" t="inlineStr">
        <is>
          <t>Qualified Health</t>
        </is>
      </c>
      <c r="B278" t="inlineStr">
        <is>
          <t>2026-04-04 13:29:07</t>
        </is>
      </c>
      <c r="C278" t="inlineStr">
        <is>
          <t>69b442a53b74eb1e2c816bcc</t>
        </is>
      </c>
      <c r="D278" t="inlineStr">
        <is>
          <t>Sr. Data Engineer - Healthcare Data Infrastructure</t>
        </is>
      </c>
      <c r="E278" t="inlineStr">
        <is>
          <t>1_Discovered</t>
        </is>
      </c>
      <c r="F278" t="inlineStr">
        <is>
          <t>fanout_batch</t>
        </is>
      </c>
      <c r="G278" t="inlineStr">
        <is>
          <t>reuse</t>
        </is>
      </c>
      <c r="H278" t="inlineStr">
        <is>
          <t>seed_qualified_health_data_engineer</t>
        </is>
      </c>
      <c r="I278" t="inlineStr">
        <is>
          <t>Qualified Health Data Engineer</t>
        </is>
      </c>
      <c r="J278"/>
      <c r="K278"/>
      <c r="L278"/>
      <c r="M278"/>
      <c r="N278"/>
      <c r="O278"/>
      <c r="P278"/>
      <c r="Q278"/>
      <c r="R278">
        <f>HYPERLINK("https://boards.greenhouse.io/embed/job_app?token=5153317008&amp;utm_source=jobright","https://boards.greenhouse.io/embed/job_app?token=5153317008&amp;utm_source=jobright")</f>
      </c>
    </row>
    <row r="279">
      <c r="A279" t="inlineStr">
        <is>
          <t>FanDuel</t>
        </is>
      </c>
      <c r="B279" t="inlineStr">
        <is>
          <t>2026-04-04 13:28:34</t>
        </is>
      </c>
      <c r="C279" t="inlineStr">
        <is>
          <t>69cd481e891d7b11cfcb709b</t>
        </is>
      </c>
      <c r="D279" t="inlineStr">
        <is>
          <t>Analytics Manager</t>
        </is>
      </c>
      <c r="E279" t="inlineStr">
        <is>
          <t>1_Discovered</t>
        </is>
      </c>
      <c r="F279" t="inlineStr">
        <is>
          <t>fanout_batch</t>
        </is>
      </c>
      <c r="G279" t="inlineStr">
        <is>
          <t>retarget</t>
        </is>
      </c>
      <c r="H279" t="inlineStr">
        <is>
          <t>seed_qualified_health_data_engineer</t>
        </is>
      </c>
      <c r="I279" t="inlineStr">
        <is>
          <t>Qualified Health Data Engineer</t>
        </is>
      </c>
      <c r="J279"/>
      <c r="K279"/>
      <c r="L279"/>
      <c r="M279"/>
      <c r="N279">
        <v>95.4</v>
      </c>
      <c r="O279" t="inlineStr">
        <is>
          <t>pass</t>
        </is>
      </c>
      <c r="P279">
        <f>HYPERLINK("file:///Users/jingyizhang/Documents/Playground/projects/local_job_resume_pipeline/data/deliverables/resume_portfolio/by_company/fanduel/2026-04-04/69cd481e891d7b11cfcb709b/resume.md","/Users/jingyizhang/Documents/Playground/projects/local_job_resume_pipeline/data/deliverables/resume_portfolio/by_company/fanduel/2026-04-04/69cd481e891d7b11cfcb709b/resume.md")</f>
      </c>
      <c r="Q279"/>
      <c r="R279">
        <f>HYPERLINK("https://boards.greenhouse.io/embed/job_app?token=7772822&amp;utm_source=jobright","https://boards.greenhouse.io/embed/job_app?token=7772822&amp;utm_source=jobright")</f>
      </c>
    </row>
    <row r="280">
      <c r="A280" t="inlineStr">
        <is>
          <t>Docusign</t>
        </is>
      </c>
      <c r="B280" t="inlineStr">
        <is>
          <t>2026-04-04 13:28:01</t>
        </is>
      </c>
      <c r="C280" t="inlineStr">
        <is>
          <t>69b44f483b74eb1e2c8186c8</t>
        </is>
      </c>
      <c r="D280" t="inlineStr">
        <is>
          <t>Software Engineer</t>
        </is>
      </c>
      <c r="E280" t="inlineStr">
        <is>
          <t>1_Discovered</t>
        </is>
      </c>
      <c r="F280" t="inlineStr">
        <is>
          <t>fanout_batch</t>
        </is>
      </c>
      <c r="G280" t="inlineStr">
        <is>
          <t>retarget</t>
        </is>
      </c>
      <c r="H280" t="inlineStr">
        <is>
          <t>seed_egen_fullstack_node</t>
        </is>
      </c>
      <c r="I280" t="inlineStr">
        <is>
          <t>Egen Fullstack Node</t>
        </is>
      </c>
      <c r="J280"/>
      <c r="K280"/>
      <c r="L280"/>
      <c r="M280"/>
      <c r="N280">
        <v>84.1</v>
      </c>
      <c r="O280" t="inlineStr">
        <is>
          <t>fail</t>
        </is>
      </c>
      <c r="P280">
        <f>HYPERLINK("file:///Users/jingyizhang/Documents/Playground/projects/local_job_resume_pipeline/data/deliverables/resume_portfolio/by_company/docusign/2026-04-04/69b44f483b74eb1e2c8186c8/resume.md","/Users/jingyizhang/Documents/Playground/projects/local_job_resume_pipeline/data/deliverables/resume_portfolio/by_company/docusign/2026-04-04/69b44f483b74eb1e2c8186c8/resume.md")</f>
      </c>
      <c r="Q280"/>
      <c r="R280">
        <f>HYPERLINK("https://careers.docusign.com/jobs/28971?lang=en-us&amp;iis=Job+board&amp;iisn=LinkedIn","https://careers.docusign.com/jobs/28971?lang=en-us&amp;iis=Job+board&amp;iisn=LinkedIn")</f>
      </c>
    </row>
    <row r="281">
      <c r="A281" t="inlineStr">
        <is>
          <t>Hearst Magazines</t>
        </is>
      </c>
      <c r="B281" t="inlineStr">
        <is>
          <t>2026-04-04 13:27:33</t>
        </is>
      </c>
      <c r="C281" t="inlineStr">
        <is>
          <t>69bf7ca22c312363dcd232a0</t>
        </is>
      </c>
      <c r="D281" t="inlineStr">
        <is>
          <t>Senior Applied Data Scientist</t>
        </is>
      </c>
      <c r="E281" t="inlineStr">
        <is>
          <t>1_Discovered</t>
        </is>
      </c>
      <c r="F281" t="inlineStr">
        <is>
          <t>fanout_batch</t>
        </is>
      </c>
      <c r="G281" t="inlineStr">
        <is>
          <t>retarget</t>
        </is>
      </c>
      <c r="H281" t="inlineStr">
        <is>
          <t>seed_h2o_ai_engineer</t>
        </is>
      </c>
      <c r="I281" t="inlineStr">
        <is>
          <t>H2O AI Engineer</t>
        </is>
      </c>
      <c r="J281"/>
      <c r="K281"/>
      <c r="L281"/>
      <c r="M281"/>
      <c r="N281">
        <v>93.6</v>
      </c>
      <c r="O281" t="inlineStr">
        <is>
          <t>pass</t>
        </is>
      </c>
      <c r="P281">
        <f>HYPERLINK("file:///Users/jingyizhang/Documents/Playground/projects/local_job_resume_pipeline/data/deliverables/resume_portfolio/by_company/hearst-magazines/2026-04-04/69bf7ca22c312363dcd232a0/resume.md","/Users/jingyizhang/Documents/Playground/projects/local_job_resume_pipeline/data/deliverables/resume_portfolio/by_company/hearst-magazines/2026-04-04/69bf7ca22c312363dcd232a0/resume.md")</f>
      </c>
      <c r="Q281"/>
      <c r="R281">
        <f>HYPERLINK("https://eevd.fa.us6.oraclecloud.com/hcmUI/CandidateExperience/en/job/2025845/?utm_medium=jobshare&amp;src=LinkedIn_Slots","https://eevd.fa.us6.oraclecloud.com/hcmUI/CandidateExperience/en/job/2025845/?utm_medium=jobshare&amp;src=LinkedIn_Slots")</f>
      </c>
    </row>
    <row r="282">
      <c r="A282" t="inlineStr">
        <is>
          <t>BlackRock</t>
        </is>
      </c>
      <c r="B282" t="inlineStr">
        <is>
          <t>2026-04-04 13:27:09</t>
        </is>
      </c>
      <c r="C282" t="inlineStr">
        <is>
          <t>69ced72b54f00230c6d0376b</t>
        </is>
      </c>
      <c r="D282" t="inlineStr">
        <is>
          <t>Salesforce Quality Assurance Engineer, Associate</t>
        </is>
      </c>
      <c r="E282" t="inlineStr">
        <is>
          <t>1_Discovered</t>
        </is>
      </c>
      <c r="F282" t="inlineStr">
        <is>
          <t>fanout_batch</t>
        </is>
      </c>
      <c r="G282" t="inlineStr">
        <is>
          <t>retarget</t>
        </is>
      </c>
      <c r="H282" t="inlineStr">
        <is>
          <t>seed_magnite_sdet</t>
        </is>
      </c>
      <c r="I282" t="inlineStr">
        <is>
          <t>Magnite SDET</t>
        </is>
      </c>
      <c r="J282"/>
      <c r="K282"/>
      <c r="L282"/>
      <c r="M282"/>
      <c r="N282">
        <v>94.4</v>
      </c>
      <c r="O282" t="inlineStr">
        <is>
          <t>pass</t>
        </is>
      </c>
      <c r="P282">
        <f>HYPERLINK("file:///Users/jingyizhang/Documents/Playground/projects/local_job_resume_pipeline/data/deliverables/resume_portfolio/by_company/blackrock/2026-04-04/69ced72b54f00230c6d0376b/resume.md","/Users/jingyizhang/Documents/Playground/projects/local_job_resume_pipeline/data/deliverables/resume_portfolio/by_company/blackrock/2026-04-04/69ced72b54f00230c6d0376b/resume.md")</f>
      </c>
      <c r="Q282"/>
      <c r="R282">
        <f>HYPERLINK("https://careers.blackrock.com/job/-/-/45831/90388286544?source=LinkedIn","https://careers.blackrock.com/job/-/-/45831/90388286544?source=LinkedIn")</f>
      </c>
    </row>
    <row r="283">
      <c r="A283" t="inlineStr">
        <is>
          <t>Real Chemistry</t>
        </is>
      </c>
      <c r="B283" t="inlineStr">
        <is>
          <t>2026-04-04 13:10:52</t>
        </is>
      </c>
      <c r="C283" t="inlineStr">
        <is>
          <t>696192f3e7ed9a5731ba6d49</t>
        </is>
      </c>
      <c r="D283" t="inlineStr">
        <is>
          <t>Senior Data Engineer</t>
        </is>
      </c>
      <c r="E283" t="inlineStr">
        <is>
          <t>1_Discovered</t>
        </is>
      </c>
      <c r="F283" t="inlineStr">
        <is>
          <t>fanout_batch</t>
        </is>
      </c>
      <c r="G283" t="inlineStr">
        <is>
          <t>retarget</t>
        </is>
      </c>
      <c r="H283" t="inlineStr">
        <is>
          <t>seed_qualified_health_data_engineer</t>
        </is>
      </c>
      <c r="I283" t="inlineStr">
        <is>
          <t>Qualified Health Data Engineer</t>
        </is>
      </c>
      <c r="J283"/>
      <c r="K283"/>
      <c r="L283"/>
      <c r="M283"/>
      <c r="N283">
        <v>94.5</v>
      </c>
      <c r="O283" t="inlineStr">
        <is>
          <t>pass</t>
        </is>
      </c>
      <c r="P283">
        <f>HYPERLINK("file:///Users/jingyizhang/Documents/Playground/projects/local_job_resume_pipeline/data/deliverables/resume_portfolio/by_company/real-chemistry/2026-04-04/696192f3e7ed9a5731ba6d49/resume.md","/Users/jingyizhang/Documents/Playground/projects/local_job_resume_pipeline/data/deliverables/resume_portfolio/by_company/real-chemistry/2026-04-04/696192f3e7ed9a5731ba6d49/resume.md")</f>
      </c>
      <c r="Q283"/>
      <c r="R283">
        <f>HYPERLINK("https://boards.greenhouse.io/embed/job_app?token=5031343008&amp;utm_source=jobright","https://boards.greenhouse.io/embed/job_app?token=5031343008&amp;utm_source=jobright")</f>
      </c>
    </row>
    <row r="284">
      <c r="A284" t="inlineStr">
        <is>
          <t>Condé Nast</t>
        </is>
      </c>
      <c r="B284" t="inlineStr">
        <is>
          <t>2026-04-04 13:10:39</t>
        </is>
      </c>
      <c r="C284" t="inlineStr">
        <is>
          <t>69aba7567e1fab39d383263a</t>
        </is>
      </c>
      <c r="D284" t="inlineStr">
        <is>
          <t>Analyst, Commerce Analytics</t>
        </is>
      </c>
      <c r="E284" t="inlineStr">
        <is>
          <t>1_Discovered</t>
        </is>
      </c>
      <c r="F284" t="inlineStr">
        <is>
          <t>fanout_batch</t>
        </is>
      </c>
      <c r="G284" t="inlineStr">
        <is>
          <t>reuse</t>
        </is>
      </c>
      <c r="H284" t="inlineStr">
        <is>
          <t>seed_plaid_data_scientist</t>
        </is>
      </c>
      <c r="I284" t="inlineStr">
        <is>
          <t>Plaid Data Scientist</t>
        </is>
      </c>
      <c r="J284"/>
      <c r="K284"/>
      <c r="L284"/>
      <c r="M284"/>
      <c r="N284"/>
      <c r="O284"/>
      <c r="P284"/>
      <c r="Q284"/>
      <c r="R284">
        <f>HYPERLINK("https://condenast.wd5.myworkdayjobs.com/CondeCareers/job/1-World-Trade-Center-New-York-NY/Analyst--Commerce-Analytics_R-22368-1?source=LinkedIn","https://condenast.wd5.myworkdayjobs.com/CondeCareers/job/1-World-Trade-Center-New-York-NY/Analyst--Commerce-Analytics_R-22368-1?source=LinkedIn")</f>
      </c>
    </row>
    <row r="285">
      <c r="A285" t="inlineStr">
        <is>
          <t>CHAOS Industries</t>
        </is>
      </c>
      <c r="B285" t="inlineStr">
        <is>
          <t>2026-04-04 13:10:38</t>
        </is>
      </c>
      <c r="C285" t="inlineStr">
        <is>
          <t>696015b8a112b402660ecb59</t>
        </is>
      </c>
      <c r="D285" t="inlineStr">
        <is>
          <t>Senior Product Engineer - Palantir</t>
        </is>
      </c>
      <c r="E285" t="inlineStr">
        <is>
          <t>1_Discovered</t>
        </is>
      </c>
      <c r="F285" t="inlineStr">
        <is>
          <t>seed_validation</t>
        </is>
      </c>
      <c r="G285" t="inlineStr">
        <is>
          <t>reuse</t>
        </is>
      </c>
      <c r="H285" t="inlineStr">
        <is>
          <t>seed_fullstack_java_react_enterprise</t>
        </is>
      </c>
      <c r="I285" t="inlineStr">
        <is>
          <t>Fullstack Java React Enterprise</t>
        </is>
      </c>
      <c r="J285"/>
      <c r="K285"/>
      <c r="L285"/>
      <c r="M285"/>
      <c r="N285"/>
      <c r="O285"/>
      <c r="P285"/>
      <c r="Q285"/>
      <c r="R285">
        <f>HYPERLINK("https://boards.greenhouse.io/embed/job_app?token=5018341007&amp;utm_source=jobright","https://boards.greenhouse.io/embed/job_app?token=5018341007&amp;utm_source=jobright")</f>
      </c>
    </row>
    <row r="286">
      <c r="A286" t="inlineStr">
        <is>
          <t>CCC Intelligent Solutions</t>
        </is>
      </c>
      <c r="B286" t="inlineStr">
        <is>
          <t>2026-04-04 13:10:30</t>
        </is>
      </c>
      <c r="C286" t="inlineStr">
        <is>
          <t>699960d5e0bddb6acac89104</t>
        </is>
      </c>
      <c r="D286" t="inlineStr">
        <is>
          <t>Site Reliability Engineer - AWS</t>
        </is>
      </c>
      <c r="E286" t="inlineStr">
        <is>
          <t>1_Discovered</t>
        </is>
      </c>
      <c r="F286" t="inlineStr">
        <is>
          <t>fanout_batch</t>
        </is>
      </c>
      <c r="G286" t="inlineStr">
        <is>
          <t>retarget</t>
        </is>
      </c>
      <c r="H286" t="inlineStr">
        <is>
          <t>seed_trimedx_platform_multicloud</t>
        </is>
      </c>
      <c r="I286" t="inlineStr">
        <is>
          <t>TRIMEDX Platform Multicloud</t>
        </is>
      </c>
      <c r="J286"/>
      <c r="K286"/>
      <c r="L286"/>
      <c r="M286"/>
      <c r="N286">
        <v>95.0</v>
      </c>
      <c r="O286" t="inlineStr">
        <is>
          <t>pass</t>
        </is>
      </c>
      <c r="P286">
        <f>HYPERLINK("file:///Users/jingyizhang/Documents/Playground/projects/local_job_resume_pipeline/data/deliverables/resume_portfolio/by_company/ccc-intelligent-solutions/2026-04-04/699960d5e0bddb6acac89104/resume.md","/Users/jingyizhang/Documents/Playground/projects/local_job_resume_pipeline/data/deliverables/resume_portfolio/by_company/ccc-intelligent-solutions/2026-04-04/699960d5e0bddb6acac89104/resume.md")</f>
      </c>
      <c r="Q286"/>
      <c r="R286">
        <f>HYPERLINK("https://cccis.wd1.myworkdayjobs.com/broadbean_external/job/Chicago-Green-St-IL/Site-Reliability-Engineer---AWS_0014112?source=LinkedIn","https://cccis.wd1.myworkdayjobs.com/broadbean_external/job/Chicago-Green-St-IL/Site-Reliability-Engineer---AWS_0014112?source=LinkedIn")</f>
      </c>
    </row>
    <row r="287">
      <c r="A287" t="inlineStr">
        <is>
          <t>Burger King</t>
        </is>
      </c>
      <c r="B287" t="inlineStr">
        <is>
          <t>2026-04-04 12:27:12</t>
        </is>
      </c>
      <c r="C287" t="inlineStr">
        <is>
          <t>69b4be123b74eb1e2c8212ff</t>
        </is>
      </c>
      <c r="D287" t="inlineStr">
        <is>
          <t>Analyst, Guest Intelligence, Burger King</t>
        </is>
      </c>
      <c r="E287" t="inlineStr">
        <is>
          <t>1_Discovered</t>
        </is>
      </c>
      <c r="F287" t="inlineStr">
        <is>
          <t>fanout_batch</t>
        </is>
      </c>
      <c r="G287" t="inlineStr">
        <is>
          <t>reuse</t>
        </is>
      </c>
      <c r="H287" t="inlineStr">
        <is>
          <t>seed_plaid_data_scientist</t>
        </is>
      </c>
      <c r="I287" t="inlineStr">
        <is>
          <t>Plaid Data Scientist</t>
        </is>
      </c>
      <c r="J287"/>
      <c r="K287"/>
      <c r="L287"/>
      <c r="M287"/>
      <c r="N287"/>
      <c r="O287"/>
      <c r="P287"/>
      <c r="Q287"/>
      <c r="R287">
        <f>HYPERLINK("https://rbi.wd3.myworkdayjobs.com/RBI_External_Career_Site/job/Corp---Miami-Corporate-Office/Analyst--Guest-Intelligence--Burger-King_R2900","https://rbi.wd3.myworkdayjobs.com/RBI_External_Career_Site/job/Corp---Miami-Corporate-Office/Analyst--Guest-Intelligence--Burger-King_R2900")</f>
      </c>
    </row>
    <row r="288">
      <c r="A288" t="inlineStr">
        <is>
          <t>FanDuel</t>
        </is>
      </c>
      <c r="B288" t="inlineStr">
        <is>
          <t>2026-04-04 12:27:11</t>
        </is>
      </c>
      <c r="C288" t="inlineStr">
        <is>
          <t>69615face7ed9a5731ba2616</t>
        </is>
      </c>
      <c r="D288" t="inlineStr">
        <is>
          <t>Analyst</t>
        </is>
      </c>
      <c r="E288" t="inlineStr">
        <is>
          <t>1_Discovered</t>
        </is>
      </c>
      <c r="F288" t="inlineStr">
        <is>
          <t>fanout_batch</t>
        </is>
      </c>
      <c r="G288" t="inlineStr">
        <is>
          <t>reuse</t>
        </is>
      </c>
      <c r="H288" t="inlineStr">
        <is>
          <t>seed_plaid_data_scientist</t>
        </is>
      </c>
      <c r="I288" t="inlineStr">
        <is>
          <t>Plaid Data Scientist</t>
        </is>
      </c>
      <c r="J288"/>
      <c r="K288"/>
      <c r="L288"/>
      <c r="M288"/>
      <c r="N288"/>
      <c r="O288"/>
      <c r="P288"/>
      <c r="Q288"/>
      <c r="R288">
        <f>HYPERLINK("https://boards.greenhouse.io/embed/job_app?token=7519202&amp;utm_source=jobright","https://boards.greenhouse.io/embed/job_app?token=7519202&amp;utm_source=jobright")</f>
      </c>
    </row>
    <row r="289">
      <c r="A289" t="inlineStr">
        <is>
          <t>FanDuel</t>
        </is>
      </c>
      <c r="B289" t="inlineStr">
        <is>
          <t>2026-04-04 12:26:44</t>
        </is>
      </c>
      <c r="C289" t="inlineStr">
        <is>
          <t>68ee7e1ed078b81ad160a7de</t>
        </is>
      </c>
      <c r="D289" t="inlineStr">
        <is>
          <t>Software Engineer</t>
        </is>
      </c>
      <c r="E289" t="inlineStr">
        <is>
          <t>1_Discovered</t>
        </is>
      </c>
      <c r="F289" t="inlineStr">
        <is>
          <t>fanout_batch</t>
        </is>
      </c>
      <c r="G289" t="inlineStr">
        <is>
          <t>retarget</t>
        </is>
      </c>
      <c r="H289" t="inlineStr">
        <is>
          <t>seed_generalist_dotnet_enterprise</t>
        </is>
      </c>
      <c r="I289" t="inlineStr">
        <is>
          <t>Generalist DotNet Enterprise</t>
        </is>
      </c>
      <c r="J289"/>
      <c r="K289"/>
      <c r="L289"/>
      <c r="M289"/>
      <c r="N289">
        <v>93.5</v>
      </c>
      <c r="O289" t="inlineStr">
        <is>
          <t>pass</t>
        </is>
      </c>
      <c r="P289">
        <f>HYPERLINK("file:///Users/jingyizhang/Documents/Playground/projects/local_job_resume_pipeline/data/deliverables/resume_portfolio/by_company/fanduel/2026-04-04/68ee7e1ed078b81ad160a7de/resume.md","/Users/jingyizhang/Documents/Playground/projects/local_job_resume_pipeline/data/deliverables/resume_portfolio/by_company/fanduel/2026-04-04/68ee7e1ed078b81ad160a7de/resume.md")</f>
      </c>
      <c r="Q289"/>
      <c r="R289">
        <f>HYPERLINK("https://boards.greenhouse.io/embed/job_app?token=7326784&amp;utm_source=jobright","https://boards.greenhouse.io/embed/job_app?token=7326784&amp;utm_source=jobright")</f>
      </c>
    </row>
    <row r="290">
      <c r="A290" t="inlineStr">
        <is>
          <t>Goldman Sachs</t>
        </is>
      </c>
      <c r="B290" t="inlineStr">
        <is>
          <t>2026-04-04 12:26:17</t>
        </is>
      </c>
      <c r="C290" t="inlineStr">
        <is>
          <t>69c626d6e565c26a7001ac2a</t>
        </is>
      </c>
      <c r="D290" t="inlineStr">
        <is>
          <t>GBM, Public, ETF One Delta Strat - Quantitative Engineering (NYC)</t>
        </is>
      </c>
      <c r="E290" t="inlineStr">
        <is>
          <t>1_Discovered</t>
        </is>
      </c>
      <c r="F290" t="inlineStr">
        <is>
          <t>fanout_batch</t>
        </is>
      </c>
      <c r="G290" t="inlineStr">
        <is>
          <t>retarget</t>
        </is>
      </c>
      <c r="H290" t="inlineStr">
        <is>
          <t>seed_paypal_java_backend</t>
        </is>
      </c>
      <c r="I290" t="inlineStr">
        <is>
          <t>PayPal Java Backend</t>
        </is>
      </c>
      <c r="J290"/>
      <c r="K290"/>
      <c r="L290"/>
      <c r="M290"/>
      <c r="N290">
        <v>96.5</v>
      </c>
      <c r="O290" t="inlineStr">
        <is>
          <t>pass</t>
        </is>
      </c>
      <c r="P290">
        <f>HYPERLINK("file:///Users/jingyizhang/Documents/Playground/projects/local_job_resume_pipeline/data/deliverables/resume_portfolio/by_company/goldman-sachs/2026-04-04/69c626d6e565c26a7001ac2a/resume.md","/Users/jingyizhang/Documents/Playground/projects/local_job_resume_pipeline/data/deliverables/resume_portfolio/by_company/goldman-sachs/2026-04-04/69c626d6e565c26a7001ac2a/resume.md")</f>
      </c>
      <c r="Q290"/>
      <c r="R290">
        <f>HYPERLINK("https://hdpc.fa.us2.oraclecloud.com/hcmUI/CandidateExperience/en/job/142652/?utm_medium=jobshare&amp;mode=job&amp;iis=LinkedIn","https://hdpc.fa.us2.oraclecloud.com/hcmUI/CandidateExperience/en/job/142652/?utm_medium=jobshare&amp;mode=job&amp;iis=LinkedIn")</f>
      </c>
    </row>
    <row r="291">
      <c r="A291" t="inlineStr">
        <is>
          <t>SoFi</t>
        </is>
      </c>
      <c r="B291" t="inlineStr">
        <is>
          <t>2026-04-04 12:20:46</t>
        </is>
      </c>
      <c r="C291" t="inlineStr">
        <is>
          <t>6961ce41e7ed9a5731ba9ca2</t>
        </is>
      </c>
      <c r="D291" t="inlineStr">
        <is>
          <t>Full-Stack Software Engineer, Benefits and Rewards</t>
        </is>
      </c>
      <c r="E291" t="inlineStr">
        <is>
          <t>1_Discovered</t>
        </is>
      </c>
      <c r="F291" t="inlineStr">
        <is>
          <t>fanout_batch</t>
        </is>
      </c>
      <c r="G291" t="inlineStr">
        <is>
          <t>retarget</t>
        </is>
      </c>
      <c r="H291" t="inlineStr">
        <is>
          <t>seed_fullstack_dotnet_azure</t>
        </is>
      </c>
      <c r="I291" t="inlineStr">
        <is>
          <t>Fullstack DotNet Azure</t>
        </is>
      </c>
      <c r="J291"/>
      <c r="K291"/>
      <c r="L291"/>
      <c r="M291"/>
      <c r="N291">
        <v>97.3</v>
      </c>
      <c r="O291" t="inlineStr">
        <is>
          <t>pass</t>
        </is>
      </c>
      <c r="P291">
        <f>HYPERLINK("file:///Users/jingyizhang/Documents/Playground/projects/local_job_resume_pipeline/data/deliverables/resume_portfolio/by_company/sofi/2026-04-04/6961ce41e7ed9a5731ba9ca2/resume.md","/Users/jingyizhang/Documents/Playground/projects/local_job_resume_pipeline/data/deliverables/resume_portfolio/by_company/sofi/2026-04-04/6961ce41e7ed9a5731ba9ca2/resume.md")</f>
      </c>
      <c r="Q291"/>
      <c r="R291">
        <f>HYPERLINK("https://boards.greenhouse.io/embed/job_app?token=7581360003&amp;utm_source=jobright","https://boards.greenhouse.io/embed/job_app?token=7581360003&amp;utm_source=jobright")</f>
      </c>
    </row>
    <row r="292">
      <c r="A292" t="inlineStr">
        <is>
          <t>Itential</t>
        </is>
      </c>
      <c r="B292" t="inlineStr">
        <is>
          <t>2026-04-04 12:20:26</t>
        </is>
      </c>
      <c r="C292" t="inlineStr">
        <is>
          <t>69d0841d891d7b11cfcdc373</t>
        </is>
      </c>
      <c r="D292" t="inlineStr">
        <is>
          <t>Software Development Engineer II</t>
        </is>
      </c>
      <c r="E292" t="inlineStr">
        <is>
          <t>1_Discovered</t>
        </is>
      </c>
      <c r="F292" t="inlineStr">
        <is>
          <t>fanout_batch</t>
        </is>
      </c>
      <c r="G292" t="inlineStr">
        <is>
          <t>reuse</t>
        </is>
      </c>
      <c r="H292" t="inlineStr">
        <is>
          <t>seed_itential_generalist_algorithms</t>
        </is>
      </c>
      <c r="I292" t="inlineStr">
        <is>
          <t>Itential Generalist Algorithms</t>
        </is>
      </c>
      <c r="J292"/>
      <c r="K292"/>
      <c r="L292"/>
      <c r="M292"/>
      <c r="N292"/>
      <c r="O292"/>
      <c r="P292"/>
      <c r="Q292"/>
      <c r="R292">
        <f>HYPERLINK("https://recruiting.paylocity.com/Recruiting/Jobs/Details/3690545","https://recruiting.paylocity.com/Recruiting/Jobs/Details/3690545")</f>
      </c>
    </row>
    <row r="293">
      <c r="A293" t="inlineStr">
        <is>
          <t>Intuit</t>
        </is>
      </c>
      <c r="B293" t="inlineStr">
        <is>
          <t>2026-04-04 12:07:22</t>
        </is>
      </c>
      <c r="C293" t="inlineStr">
        <is>
          <t>69d1454acfdc6132f9442ba5</t>
        </is>
      </c>
      <c r="D293" t="inlineStr">
        <is>
          <t>Software Engineer 2, AI Builder</t>
        </is>
      </c>
      <c r="E293" t="inlineStr">
        <is>
          <t>1_Discovered</t>
        </is>
      </c>
      <c r="F293" t="inlineStr">
        <is>
          <t>fanout_batch</t>
        </is>
      </c>
      <c r="G293" t="inlineStr">
        <is>
          <t>retarget</t>
        </is>
      </c>
      <c r="H293" t="inlineStr">
        <is>
          <t>seed_microsoft_polyglot_generalist</t>
        </is>
      </c>
      <c r="I293" t="inlineStr">
        <is>
          <t>Microsoft Polyglot Generalist</t>
        </is>
      </c>
      <c r="J293"/>
      <c r="K293"/>
      <c r="L293"/>
      <c r="M293"/>
      <c r="N293">
        <v>95.0</v>
      </c>
      <c r="O293" t="inlineStr">
        <is>
          <t>pass</t>
        </is>
      </c>
      <c r="P293">
        <f>HYPERLINK("file:///Users/jingyizhang/Documents/Playground/projects/local_job_resume_pipeline/data/deliverables/resume_portfolio/by_company/intuit/2026-04-04/69d1454acfdc6132f9442ba5/resume.md","/Users/jingyizhang/Documents/Playground/projects/local_job_resume_pipeline/data/deliverables/resume_portfolio/by_company/intuit/2026-04-04/69d1454acfdc6132f9442ba5/resume.md")</f>
      </c>
      <c r="Q293"/>
      <c r="R293">
        <f>HYPERLINK("https://jobs.intuit.com/job/-/-/27595/93544896192?cid=pjob_li_click_us_swe-dataeng-fy26_cn_text_job_int-tm&amp;iis=pjob&amp;iisn=li&amp;p_sid=lRjCweb&amp;p_uid=aS0sejswro&amp;ss=paid&amp;utm_campaign=&amp;utm_content=pj_board&amp;utm_medium=jobad&amp;utm_source=linkedin+slots+%28intuit%29","https://jobs.intuit.com/job/-/-/27595/93544896192?cid=pjob_li_click_us_swe-dataeng-fy26_cn_text_job_int-tm&amp;iis=pjob&amp;iisn=li&amp;p_sid=lRjCweb&amp;p_uid=aS0sejswro&amp;ss=paid&amp;utm_campaign=&amp;utm_content=pj_board&amp;utm_medium=jobad&amp;utm_source=linkedin+slots+%28intuit%29")</f>
      </c>
    </row>
    <row r="294">
      <c r="A294" t="inlineStr">
        <is>
          <t>Remote</t>
        </is>
      </c>
      <c r="B294" t="inlineStr">
        <is>
          <t>2026-04-04 12:07:11</t>
        </is>
      </c>
      <c r="C294" t="inlineStr">
        <is>
          <t>69d1453f366bb95ba5525a6c</t>
        </is>
      </c>
      <c r="D294" t="inlineStr">
        <is>
          <t>Senior Backend Engineer (Elixir)</t>
        </is>
      </c>
      <c r="E294" t="inlineStr">
        <is>
          <t>1_Discovered</t>
        </is>
      </c>
      <c r="F294" t="inlineStr">
        <is>
          <t>fanout_batch</t>
        </is>
      </c>
      <c r="G294" t="inlineStr">
        <is>
          <t>reuse</t>
        </is>
      </c>
      <c r="H294" t="inlineStr">
        <is>
          <t>seed_cisco_backend_api</t>
        </is>
      </c>
      <c r="I294" t="inlineStr">
        <is>
          <t>Cisco Backend API</t>
        </is>
      </c>
      <c r="J294"/>
      <c r="K294"/>
      <c r="L294"/>
      <c r="M294"/>
      <c r="N294"/>
      <c r="O294"/>
      <c r="P294"/>
      <c r="Q294"/>
      <c r="R294">
        <f>HYPERLINK("https://boards.greenhouse.io/embed/job_app?token=7690142003&amp;utm_source=jobright","https://boards.greenhouse.io/embed/job_app?token=7690142003&amp;utm_source=jobright")</f>
      </c>
    </row>
    <row r="295">
      <c r="A295" t="inlineStr">
        <is>
          <t>Applied Materials</t>
        </is>
      </c>
      <c r="B295" t="inlineStr">
        <is>
          <t>2026-04-04 12:06:27</t>
        </is>
      </c>
      <c r="C295" t="inlineStr">
        <is>
          <t>69d14513cdb525785fbb1a6c</t>
        </is>
      </c>
      <c r="D295" t="inlineStr">
        <is>
          <t>Business Intelligence Analyst</t>
        </is>
      </c>
      <c r="E295" t="inlineStr">
        <is>
          <t>1_Discovered</t>
        </is>
      </c>
      <c r="F295" t="inlineStr">
        <is>
          <t>fanout_batch</t>
        </is>
      </c>
      <c r="G295" t="inlineStr">
        <is>
          <t>retarget</t>
        </is>
      </c>
      <c r="H295" t="inlineStr">
        <is>
          <t>seed_qualified_health_data_engineer</t>
        </is>
      </c>
      <c r="I295" t="inlineStr">
        <is>
          <t>Qualified Health Data Engineer</t>
        </is>
      </c>
      <c r="J295"/>
      <c r="K295"/>
      <c r="L295"/>
      <c r="M295"/>
      <c r="N295">
        <v>95.8</v>
      </c>
      <c r="O295" t="inlineStr">
        <is>
          <t>pass</t>
        </is>
      </c>
      <c r="P295">
        <f>HYPERLINK("file:///Users/jingyizhang/Documents/Playground/projects/local_job_resume_pipeline/data/deliverables/resume_portfolio/by_company/applied-materials/2026-04-04/69d14513cdb525785fbb1a6c/resume.md","/Users/jingyizhang/Documents/Playground/projects/local_job_resume_pipeline/data/deliverables/resume_portfolio/by_company/applied-materials/2026-04-04/69d14513cdb525785fbb1a6c/resume.md")</f>
      </c>
      <c r="Q295"/>
      <c r="R295">
        <f>HYPERLINK("https://jobs.appliedmaterials.com/job/-/-/95/93486314288?p_sid=VmbCIvb&amp;p_uid=zy8d6UzoJK&amp;ss=paid&amp;utm_campaign=business_operations_us&amp;utm_content=pj_board&amp;utm_medium=jobad&amp;utm_source=jobright","https://jobs.appliedmaterials.com/job/-/-/95/93486314288?p_sid=VmbCIvb&amp;p_uid=zy8d6UzoJK&amp;ss=paid&amp;utm_campaign=business_operations_us&amp;utm_content=pj_board&amp;utm_medium=jobad&amp;utm_source=jobright")</f>
      </c>
    </row>
    <row r="296">
      <c r="A296" t="inlineStr">
        <is>
          <t>Priceline</t>
        </is>
      </c>
      <c r="B296" t="inlineStr">
        <is>
          <t>2026-04-04 12:06:00</t>
        </is>
      </c>
      <c r="C296" t="inlineStr">
        <is>
          <t>6998c18ace78e77b4fdd544f</t>
        </is>
      </c>
      <c r="D296" t="inlineStr">
        <is>
          <t>Site Reliability Engineer</t>
        </is>
      </c>
      <c r="E296" t="inlineStr">
        <is>
          <t>1_Discovered</t>
        </is>
      </c>
      <c r="F296" t="inlineStr">
        <is>
          <t>fanout_batch</t>
        </is>
      </c>
      <c r="G296" t="inlineStr">
        <is>
          <t>retarget</t>
        </is>
      </c>
      <c r="H296" t="inlineStr">
        <is>
          <t>seed_fireblocks_sre_anchor</t>
        </is>
      </c>
      <c r="I296" t="inlineStr">
        <is>
          <t>Fireblocks SRE Anchor</t>
        </is>
      </c>
      <c r="J296"/>
      <c r="K296"/>
      <c r="L296"/>
      <c r="M296"/>
      <c r="N296">
        <v>92.6</v>
      </c>
      <c r="O296" t="inlineStr">
        <is>
          <t>conditional_pass</t>
        </is>
      </c>
      <c r="P296">
        <f>HYPERLINK("file:///Users/jingyizhang/Documents/Playground/projects/local_job_resume_pipeline/data/deliverables/resume_portfolio/by_company/priceline/2026-04-04/6998c18ace78e77b4fdd544f/resume.md","/Users/jingyizhang/Documents/Playground/projects/local_job_resume_pipeline/data/deliverables/resume_portfolio/by_company/priceline/2026-04-04/6998c18ace78e77b4fdd544f/resume.md")</f>
      </c>
      <c r="Q296"/>
      <c r="R296">
        <f>HYPERLINK("https://priceline.wd1.myworkdayjobs.com/Priceline/job/Norwalk-CT/Site-Reliability-Engineer_R5464?source=Linkedin","https://priceline.wd1.myworkdayjobs.com/Priceline/job/Norwalk-CT/Site-Reliability-Engineer_R5464?source=Linkedin")</f>
      </c>
    </row>
    <row r="297">
      <c r="A297" t="inlineStr">
        <is>
          <t>Chewy</t>
        </is>
      </c>
      <c r="B297" t="inlineStr">
        <is>
          <t>2026-04-04 12:05:13</t>
        </is>
      </c>
      <c r="C297" t="inlineStr">
        <is>
          <t>699789ece0bddb6acac63b37</t>
        </is>
      </c>
      <c r="D297" t="inlineStr">
        <is>
          <t>Senior Healthcare Analytics Manager</t>
        </is>
      </c>
      <c r="E297" t="inlineStr">
        <is>
          <t>1_Discovered</t>
        </is>
      </c>
      <c r="F297" t="inlineStr">
        <is>
          <t>fanout_batch</t>
        </is>
      </c>
      <c r="G297" t="inlineStr">
        <is>
          <t>reuse</t>
        </is>
      </c>
      <c r="H297" t="inlineStr">
        <is>
          <t>seed_plaid_data_scientist</t>
        </is>
      </c>
      <c r="I297" t="inlineStr">
        <is>
          <t>Plaid Data Scientist</t>
        </is>
      </c>
      <c r="J297"/>
      <c r="K297"/>
      <c r="L297"/>
      <c r="M297"/>
      <c r="N297"/>
      <c r="O297"/>
      <c r="P297"/>
      <c r="Q297"/>
      <c r="R297">
        <f>HYPERLINK("https://careers.chewy.com/us/en/job/CHINUSR28755EXTERNALENUS/Senior-Healthcare-Analytics-Manager?utm_source=linkedin&amp;utm_medium=phenom-feeds?gh_src=o8ua3y1","https://careers.chewy.com/us/en/job/CHINUSR28755EXTERNALENUS/Senior-Healthcare-Analytics-Manager?utm_source=linkedin&amp;utm_medium=phenom-feeds?gh_src=o8ua3y1")</f>
      </c>
    </row>
    <row r="298">
      <c r="A298" t="inlineStr">
        <is>
          <t>Glean</t>
        </is>
      </c>
      <c r="B298" t="inlineStr">
        <is>
          <t>2026-04-04 11:50:38</t>
        </is>
      </c>
      <c r="C298" t="inlineStr">
        <is>
          <t>69bc287f5b89c002acf160da</t>
        </is>
      </c>
      <c r="D298" t="inlineStr">
        <is>
          <t>Cloud Infrastructure Engineer</t>
        </is>
      </c>
      <c r="E298" t="inlineStr">
        <is>
          <t>1_Discovered</t>
        </is>
      </c>
      <c r="F298" t="inlineStr">
        <is>
          <t>fanout_batch</t>
        </is>
      </c>
      <c r="G298" t="inlineStr">
        <is>
          <t>retarget</t>
        </is>
      </c>
      <c r="H298" t="inlineStr">
        <is>
          <t>seed_trimedx_platform_multicloud</t>
        </is>
      </c>
      <c r="I298" t="inlineStr">
        <is>
          <t>TRIMEDX Platform Multicloud</t>
        </is>
      </c>
      <c r="J298"/>
      <c r="K298"/>
      <c r="L298"/>
      <c r="M298"/>
      <c r="N298">
        <v>94.5</v>
      </c>
      <c r="O298" t="inlineStr">
        <is>
          <t>pass</t>
        </is>
      </c>
      <c r="P298">
        <f>HYPERLINK("file:///Users/jingyizhang/Documents/Playground/projects/local_job_resume_pipeline/data/deliverables/resume_portfolio/by_company/glean/2026-04-04/69bc287f5b89c002acf160da/resume.md","/Users/jingyizhang/Documents/Playground/projects/local_job_resume_pipeline/data/deliverables/resume_portfolio/by_company/glean/2026-04-04/69bc287f5b89c002acf160da/resume.md")</f>
      </c>
      <c r="Q298"/>
      <c r="R298">
        <f>HYPERLINK("https://boards.greenhouse.io/embed/job_app?token=4547218005&amp;utm_source=jobright","https://boards.greenhouse.io/embed/job_app?token=4547218005&amp;utm_source=jobright")</f>
      </c>
    </row>
    <row r="299">
      <c r="A299" t="inlineStr">
        <is>
          <t>Glean</t>
        </is>
      </c>
      <c r="B299" t="inlineStr">
        <is>
          <t>2026-04-04 11:50:36</t>
        </is>
      </c>
      <c r="C299" t="inlineStr">
        <is>
          <t>689aa14ffaa4e875e825a5de</t>
        </is>
      </c>
      <c r="D299" t="inlineStr">
        <is>
          <t>Machine Learning Engineer, Infrastructure</t>
        </is>
      </c>
      <c r="E299" t="inlineStr">
        <is>
          <t>1_Discovered</t>
        </is>
      </c>
      <c r="F299" t="inlineStr">
        <is>
          <t>seed_source</t>
        </is>
      </c>
      <c r="G299" t="inlineStr">
        <is>
          <t>seed_source</t>
        </is>
      </c>
      <c r="H299" t="inlineStr">
        <is>
          <t>seed_glean_ml_infra</t>
        </is>
      </c>
      <c r="I299" t="inlineStr">
        <is>
          <t>Glean ML Infrastructure</t>
        </is>
      </c>
      <c r="J299"/>
      <c r="K299"/>
      <c r="L299"/>
      <c r="M299"/>
      <c r="N299">
        <v>94.0</v>
      </c>
      <c r="O299" t="inlineStr">
        <is>
          <t>pass</t>
        </is>
      </c>
      <c r="P299">
        <f>HYPERLINK("file:///Users/jingyizhang/Documents/Playground/projects/local_job_resume_pipeline/data/deliverables/resume_portfolio/by_company/glean/2026-04-04/689aa14ffaa4e875e825a5de/resume.md","/Users/jingyizhang/Documents/Playground/projects/local_job_resume_pipeline/data/deliverables/resume_portfolio/by_company/glean/2026-04-04/689aa14ffaa4e875e825a5de/resume.md")</f>
      </c>
      <c r="Q299"/>
      <c r="R299">
        <f>HYPERLINK("https://boards.greenhouse.io/embed/job_app?token=4501783005&amp;utm_source=jobright","https://boards.greenhouse.io/embed/job_app?token=4501783005&amp;utm_source=jobright")</f>
      </c>
    </row>
    <row r="300">
      <c r="A300" t="inlineStr">
        <is>
          <t>Cohere</t>
        </is>
      </c>
      <c r="B300" t="inlineStr">
        <is>
          <t>2026-04-04 11:49:10</t>
        </is>
      </c>
      <c r="C300" t="inlineStr">
        <is>
          <t>690d90dc221b890c27807abc</t>
        </is>
      </c>
      <c r="D300" t="inlineStr">
        <is>
          <t>Forward Deployed Engineer, Prompt Specialist</t>
        </is>
      </c>
      <c r="E300" t="inlineStr">
        <is>
          <t>1_Discovered</t>
        </is>
      </c>
      <c r="F300" t="inlineStr">
        <is>
          <t>fanout_batch</t>
        </is>
      </c>
      <c r="G300" t="inlineStr">
        <is>
          <t>reuse</t>
        </is>
      </c>
      <c r="H300" t="inlineStr">
        <is>
          <t>seed_linkedin_mle_foundation</t>
        </is>
      </c>
      <c r="I300" t="inlineStr">
        <is>
          <t>LinkedIn MLE Foundation</t>
        </is>
      </c>
      <c r="J300"/>
      <c r="K300"/>
      <c r="L300"/>
      <c r="M300"/>
      <c r="N300"/>
      <c r="O300"/>
      <c r="P300"/>
      <c r="Q300"/>
      <c r="R300">
        <f>HYPERLINK("https://jobs.ashbyhq.com/cohere/6745547c-cc72-466c-867c-a0539b04909b?utm_source=jKNDxYPz51","https://jobs.ashbyhq.com/cohere/6745547c-cc72-466c-867c-a0539b04909b?utm_source=jKNDxYPz51")</f>
      </c>
    </row>
    <row r="301">
      <c r="A301" t="inlineStr">
        <is>
          <t>Amazon Web Services (AWS)</t>
        </is>
      </c>
      <c r="B301" t="inlineStr">
        <is>
          <t>2026-04-04 11:46:16</t>
        </is>
      </c>
      <c r="C301" t="inlineStr">
        <is>
          <t>69461adb7d506e3808f16dc0</t>
        </is>
      </c>
      <c r="D301" t="inlineStr">
        <is>
          <t>Software Development Engineer</t>
        </is>
      </c>
      <c r="E301" t="inlineStr">
        <is>
          <t>1_Discovered</t>
        </is>
      </c>
      <c r="F301" t="inlineStr">
        <is>
          <t>fanout_batch</t>
        </is>
      </c>
      <c r="G301" t="inlineStr">
        <is>
          <t>reuse</t>
        </is>
      </c>
      <c r="H301" t="inlineStr">
        <is>
          <t>seed_aws_support_backend_anchor</t>
        </is>
      </c>
      <c r="I301" t="inlineStr">
        <is>
          <t>AWS Support Backend Anchor</t>
        </is>
      </c>
      <c r="J301"/>
      <c r="K301"/>
      <c r="L301"/>
      <c r="M301"/>
      <c r="N301"/>
      <c r="O301"/>
      <c r="P301"/>
      <c r="Q301"/>
      <c r="R301">
        <f>HYPERLINK("https://www.amazon.jobs/jobs/3146660/software-development-engineer?cmpid=SPLICX0248M&amp;utm_source=linkedin.com&amp;utm_campaign=cxro&amp;utm_medium=social_media&amp;utm_content=job_posting&amp;ss=paid","https://www.amazon.jobs/jobs/3146660/software-development-engineer?cmpid=SPLICX0248M&amp;utm_source=linkedin.com&amp;utm_campaign=cxro&amp;utm_medium=social_media&amp;utm_content=job_posting&amp;ss=paid")</f>
      </c>
    </row>
    <row r="302">
      <c r="A302" t="inlineStr">
        <is>
          <t>Magnite</t>
        </is>
      </c>
      <c r="B302" t="inlineStr">
        <is>
          <t>2026-04-04 11:38:37</t>
        </is>
      </c>
      <c r="C302" t="inlineStr">
        <is>
          <t>6997eb98ce78e77b4fdc7052</t>
        </is>
      </c>
      <c r="D302" t="inlineStr">
        <is>
          <t>Software Development Engineer in Test (SDET II)</t>
        </is>
      </c>
      <c r="E302" t="inlineStr">
        <is>
          <t>1_Discovered</t>
        </is>
      </c>
      <c r="F302" t="inlineStr">
        <is>
          <t>fanout_batch</t>
        </is>
      </c>
      <c r="G302" t="inlineStr">
        <is>
          <t>reuse</t>
        </is>
      </c>
      <c r="H302" t="inlineStr">
        <is>
          <t>seed_magnite_sdet</t>
        </is>
      </c>
      <c r="I302" t="inlineStr">
        <is>
          <t>Magnite SDET</t>
        </is>
      </c>
      <c r="J302"/>
      <c r="K302"/>
      <c r="L302"/>
      <c r="M302"/>
      <c r="N302"/>
      <c r="O302"/>
      <c r="P302"/>
      <c r="Q302"/>
      <c r="R302">
        <f>HYPERLINK("https://osv-rubicon.wd5.myworkdayjobs.com/MagniteCareers/job/California---Los-Angeles/Software-Development-Engineer-in-Test--SDET-II-_R-01259?source=LinkedIn","https://osv-rubicon.wd5.myworkdayjobs.com/MagniteCareers/job/California---Los-Angeles/Software-Development-Engineer-in-Test--SDET-II-_R-01259?source=LinkedIn")</f>
      </c>
    </row>
    <row r="303">
      <c r="A303" t="inlineStr">
        <is>
          <t>Amazon Web Services (AWS)</t>
        </is>
      </c>
      <c r="B303" t="inlineStr">
        <is>
          <t>2026-04-04 11:38:28</t>
        </is>
      </c>
      <c r="C303" t="inlineStr">
        <is>
          <t>69461f3cd1953b5d11bf3c21</t>
        </is>
      </c>
      <c r="D303" t="inlineStr">
        <is>
          <t>Software Development Engineer</t>
        </is>
      </c>
      <c r="E303" t="inlineStr">
        <is>
          <t>1_Discovered</t>
        </is>
      </c>
      <c r="F303" t="inlineStr">
        <is>
          <t>fanout_batch</t>
        </is>
      </c>
      <c r="G303" t="inlineStr">
        <is>
          <t>reuse</t>
        </is>
      </c>
      <c r="H303" t="inlineStr">
        <is>
          <t>seed_aws_support_backend_anchor</t>
        </is>
      </c>
      <c r="I303" t="inlineStr">
        <is>
          <t>AWS Support Backend Anchor</t>
        </is>
      </c>
      <c r="J303"/>
      <c r="K303"/>
      <c r="L303"/>
      <c r="M303"/>
      <c r="N303"/>
      <c r="O303"/>
      <c r="P303"/>
      <c r="Q303"/>
      <c r="R303">
        <f>HYPERLINK("https://www.amazon.jobs/jobs/3146656/software-development-engineer?cmpid=SPLICX0248M&amp;utm_source=linkedin.com&amp;utm_campaign=cxro&amp;utm_medium=social_media&amp;utm_content=job_posting&amp;ss=paid","https://www.amazon.jobs/jobs/3146656/software-development-engineer?cmpid=SPLICX0248M&amp;utm_source=linkedin.com&amp;utm_campaign=cxro&amp;utm_medium=social_media&amp;utm_content=job_posting&amp;ss=paid")</f>
      </c>
    </row>
    <row r="304">
      <c r="A304" t="inlineStr">
        <is>
          <t>Cohere</t>
        </is>
      </c>
      <c r="B304" t="inlineStr">
        <is>
          <t>2026-04-04 11:38:15</t>
        </is>
      </c>
      <c r="C304" t="inlineStr">
        <is>
          <t>69278b2091ceeb2e8a540fc2</t>
        </is>
      </c>
      <c r="D304" t="inlineStr">
        <is>
          <t>Member of Technical Staff, Data Engineering</t>
        </is>
      </c>
      <c r="E304" t="inlineStr">
        <is>
          <t>1_Discovered</t>
        </is>
      </c>
      <c r="F304" t="inlineStr">
        <is>
          <t>fanout_batch</t>
        </is>
      </c>
      <c r="G304" t="inlineStr">
        <is>
          <t>reuse</t>
        </is>
      </c>
      <c r="H304" t="inlineStr">
        <is>
          <t>seed_qualified_health_data_engineer</t>
        </is>
      </c>
      <c r="I304" t="inlineStr">
        <is>
          <t>Qualified Health Data Engineer</t>
        </is>
      </c>
      <c r="J304"/>
      <c r="K304"/>
      <c r="L304"/>
      <c r="M304"/>
      <c r="N304"/>
      <c r="O304"/>
      <c r="P304"/>
      <c r="Q304"/>
      <c r="R304">
        <f>HYPERLINK("https://jobs.ashbyhq.com/cohere/0885b39d-b2f8-44be-af4c-e533be2b34af?utm_source=jKNDxYPz51","https://jobs.ashbyhq.com/cohere/0885b39d-b2f8-44be-af4c-e533be2b34af?utm_source=jKNDxYPz51")</f>
      </c>
    </row>
    <row r="305">
      <c r="A305" t="inlineStr">
        <is>
          <t>Amazon Web Services (AWS)</t>
        </is>
      </c>
      <c r="B305" t="inlineStr">
        <is>
          <t>2026-04-04 11:37:30</t>
        </is>
      </c>
      <c r="C305" t="inlineStr">
        <is>
          <t>697c25611136d179eeefdf16</t>
        </is>
      </c>
      <c r="D305" t="inlineStr">
        <is>
          <t>Software Development Engineer II, AI/ML Elastic Collectives - Annapurna Labs</t>
        </is>
      </c>
      <c r="E305" t="inlineStr">
        <is>
          <t>1_Discovered</t>
        </is>
      </c>
      <c r="F305" t="inlineStr">
        <is>
          <t>fanout_batch</t>
        </is>
      </c>
      <c r="G305" t="inlineStr">
        <is>
          <t>reuse</t>
        </is>
      </c>
      <c r="H305" t="inlineStr">
        <is>
          <t>seed_aws_support_backend_anchor</t>
        </is>
      </c>
      <c r="I305" t="inlineStr">
        <is>
          <t>AWS Support Backend Anchor</t>
        </is>
      </c>
      <c r="J305"/>
      <c r="K305"/>
      <c r="L305"/>
      <c r="M305"/>
      <c r="N305"/>
      <c r="O305"/>
      <c r="P305"/>
      <c r="Q305"/>
      <c r="R305">
        <f>HYPERLINK("https://www.amazon.jobs/jobs/3169819/software-development-engineer-ii-aiml-elastic-collectives--annapurna-labs?cmpid=SPLICX0248M&amp;utm_source=linkedin.com&amp;utm_campaign=cxro&amp;utm_medium=social_media&amp;utm_content=job_posting&amp;ss=paid","https://www.amazon.jobs/jobs/3169819/software-development-engineer-ii-aiml-elastic-collectives--annapurna-labs?cmpid=SPLICX0248M&amp;utm_source=linkedin.com&amp;utm_campaign=cxro&amp;utm_medium=social_media&amp;utm_content=job_posting&amp;ss=paid")</f>
      </c>
    </row>
    <row r="306">
      <c r="A306" t="inlineStr">
        <is>
          <t>Harvey</t>
        </is>
      </c>
      <c r="B306" t="inlineStr">
        <is>
          <t>2026-04-04 11:37:09</t>
        </is>
      </c>
      <c r="C306" t="inlineStr">
        <is>
          <t>68f0425778ba1621431e3f34</t>
        </is>
      </c>
      <c r="D306" t="inlineStr">
        <is>
          <t>Mid/Senior/Staff Software Engineer, Agents</t>
        </is>
      </c>
      <c r="E306" t="inlineStr">
        <is>
          <t>1_Discovered</t>
        </is>
      </c>
      <c r="F306" t="inlineStr">
        <is>
          <t>fanout_batch</t>
        </is>
      </c>
      <c r="G306" t="inlineStr">
        <is>
          <t>reuse</t>
        </is>
      </c>
      <c r="H306" t="inlineStr">
        <is>
          <t>seed_h2o_ai_engineer</t>
        </is>
      </c>
      <c r="I306" t="inlineStr">
        <is>
          <t>H2O AI Engineer</t>
        </is>
      </c>
      <c r="J306"/>
      <c r="K306"/>
      <c r="L306"/>
      <c r="M306"/>
      <c r="N306"/>
      <c r="O306"/>
      <c r="P306"/>
      <c r="Q306"/>
      <c r="R306">
        <f>HYPERLINK("https://jobs.ashbyhq.com/harvey/14bc0927-4e68-45ad-809e-d44fc860dbe0?utm_source=58AzKxpoq0","https://jobs.ashbyhq.com/harvey/14bc0927-4e68-45ad-809e-d44fc860dbe0?utm_source=58AzKxpoq0")</f>
      </c>
    </row>
    <row r="307">
      <c r="A307" t="inlineStr">
        <is>
          <t>Amazon Web Services (AWS)</t>
        </is>
      </c>
      <c r="B307" t="inlineStr">
        <is>
          <t>2026-04-04 11:37:03</t>
        </is>
      </c>
      <c r="C307" t="inlineStr">
        <is>
          <t>69461a32d1953b5d11bf36f4</t>
        </is>
      </c>
      <c r="D307" t="inlineStr">
        <is>
          <t>Software Development Engineer</t>
        </is>
      </c>
      <c r="E307" t="inlineStr">
        <is>
          <t>1_Discovered</t>
        </is>
      </c>
      <c r="F307" t="inlineStr">
        <is>
          <t>fanout_batch</t>
        </is>
      </c>
      <c r="G307" t="inlineStr">
        <is>
          <t>reuse</t>
        </is>
      </c>
      <c r="H307" t="inlineStr">
        <is>
          <t>seed_aws_support_backend_anchor</t>
        </is>
      </c>
      <c r="I307" t="inlineStr">
        <is>
          <t>AWS Support Backend Anchor</t>
        </is>
      </c>
      <c r="J307"/>
      <c r="K307"/>
      <c r="L307"/>
      <c r="M307"/>
      <c r="N307"/>
      <c r="O307"/>
      <c r="P307"/>
      <c r="Q307"/>
      <c r="R307">
        <f>HYPERLINK("https://www.amazon.jobs/jobs/3146620/software-development-engineer?cmpid=SPLICX0248M&amp;utm_source=linkedin.com&amp;utm_campaign=cxro&amp;utm_medium=social_media&amp;utm_content=job_posting&amp;ss=paid","https://www.amazon.jobs/jobs/3146620/software-development-engineer?cmpid=SPLICX0248M&amp;utm_source=linkedin.com&amp;utm_campaign=cxro&amp;utm_medium=social_media&amp;utm_content=job_posting&amp;ss=paid")</f>
      </c>
    </row>
    <row r="308">
      <c r="A308" t="inlineStr">
        <is>
          <t>Glean</t>
        </is>
      </c>
      <c r="B308" t="inlineStr">
        <is>
          <t>2026-04-04 11:36:54</t>
        </is>
      </c>
      <c r="C308" t="inlineStr">
        <is>
          <t>6863515f060dab0b62ab65f0</t>
        </is>
      </c>
      <c r="D308" t="inlineStr">
        <is>
          <t>Software Engineer, Backend</t>
        </is>
      </c>
      <c r="E308" t="inlineStr">
        <is>
          <t>1_Discovered</t>
        </is>
      </c>
      <c r="F308" t="inlineStr">
        <is>
          <t>fanout_batch</t>
        </is>
      </c>
      <c r="G308" t="inlineStr">
        <is>
          <t>retarget</t>
        </is>
      </c>
      <c r="H308" t="inlineStr">
        <is>
          <t>seed_google_cloud_infra_anchor_candidate</t>
        </is>
      </c>
      <c r="I308" t="inlineStr">
        <is>
          <t>Google Cloud Infra Anchor</t>
        </is>
      </c>
      <c r="J308" t="inlineStr">
        <is>
          <t>google_cloud_infra_mainline</t>
        </is>
      </c>
      <c r="K308" t="inlineStr">
        <is>
          <t>mainline</t>
        </is>
      </c>
      <c r="L308"/>
      <c r="M308"/>
      <c r="N308">
        <v>93.9</v>
      </c>
      <c r="O308" t="inlineStr">
        <is>
          <t>pass</t>
        </is>
      </c>
      <c r="P308">
        <f>HYPERLINK("file:///Users/jingyizhang/Documents/Playground/projects/local_job_resume_pipeline/data/deliverables/resume_portfolio/by_company/glean/2026-04-04/6863515f060dab0b62ab65f0/resume.md","/Users/jingyizhang/Documents/Playground/projects/local_job_resume_pipeline/data/deliverables/resume_portfolio/by_company/glean/2026-04-04/6863515f060dab0b62ab65f0/resume.md")</f>
      </c>
      <c r="Q308"/>
      <c r="R308">
        <f>HYPERLINK("https://boards.greenhouse.io/embed/job_app?token=4581643005&amp;utm_source=jobright","https://boards.greenhouse.io/embed/job_app?token=4581643005&amp;utm_source=jobright")</f>
      </c>
    </row>
    <row r="309">
      <c r="A309" t="inlineStr">
        <is>
          <t>Five9</t>
        </is>
      </c>
      <c r="B309" t="inlineStr">
        <is>
          <t>2026-04-04 11:34:44</t>
        </is>
      </c>
      <c r="C309" t="inlineStr">
        <is>
          <t>69b4c4cb3b74eb1e2c8223d6</t>
        </is>
      </c>
      <c r="D309" t="inlineStr">
        <is>
          <t>Platform Engineer</t>
        </is>
      </c>
      <c r="E309" t="inlineStr">
        <is>
          <t>1_Discovered</t>
        </is>
      </c>
      <c r="F309" t="inlineStr">
        <is>
          <t>fanout_batch</t>
        </is>
      </c>
      <c r="G309" t="inlineStr">
        <is>
          <t>retarget</t>
        </is>
      </c>
      <c r="H309" t="inlineStr">
        <is>
          <t>seed_trimedx_platform_multicloud</t>
        </is>
      </c>
      <c r="I309" t="inlineStr">
        <is>
          <t>TRIMEDX Platform Multicloud</t>
        </is>
      </c>
      <c r="J309"/>
      <c r="K309"/>
      <c r="L309"/>
      <c r="M309"/>
      <c r="N309">
        <v>94.0</v>
      </c>
      <c r="O309" t="inlineStr">
        <is>
          <t>pass</t>
        </is>
      </c>
      <c r="P309">
        <f>HYPERLINK("file:///Users/jingyizhang/Documents/Playground/projects/local_job_resume_pipeline/data/deliverables/resume_portfolio/by_company/five9/2026-04-04/69b4c4cb3b74eb1e2c8223d6/resume.md","/Users/jingyizhang/Documents/Playground/projects/local_job_resume_pipeline/data/deliverables/resume_portfolio/by_company/five9/2026-04-04/69b4c4cb3b74eb1e2c8223d6/resume.md")</f>
      </c>
      <c r="Q309"/>
      <c r="R309">
        <f>HYPERLINK("https://boards.greenhouse.io/embed/job_app?token=5828558004&amp;utm_source=jobright","https://boards.greenhouse.io/embed/job_app?token=5828558004&amp;utm_source=jobright")</f>
      </c>
    </row>
    <row r="310">
      <c r="A310" t="inlineStr">
        <is>
          <t>Grid</t>
        </is>
      </c>
      <c r="B310" t="inlineStr">
        <is>
          <t>2026-04-04 11:34:03</t>
        </is>
      </c>
      <c r="C310" t="inlineStr">
        <is>
          <t>69d13d7bcfdc6132f9442412</t>
        </is>
      </c>
      <c r="D310" t="inlineStr">
        <is>
          <t>Software Engineer | On-site | San Francisco</t>
        </is>
      </c>
      <c r="E310" t="inlineStr">
        <is>
          <t>1_Discovered</t>
        </is>
      </c>
      <c r="F310" t="inlineStr">
        <is>
          <t>fanout_batch</t>
        </is>
      </c>
      <c r="G310" t="inlineStr">
        <is>
          <t>retarget</t>
        </is>
      </c>
      <c r="H310" t="inlineStr">
        <is>
          <t>seed_aws_generalist_embedded</t>
        </is>
      </c>
      <c r="I310" t="inlineStr">
        <is>
          <t>AWS Generalist Embedded</t>
        </is>
      </c>
      <c r="J310"/>
      <c r="K310"/>
      <c r="L310"/>
      <c r="M310"/>
      <c r="N310">
        <v>93.5</v>
      </c>
      <c r="O310" t="inlineStr">
        <is>
          <t>pass</t>
        </is>
      </c>
      <c r="P310">
        <f>HYPERLINK("file:///Users/jingyizhang/Documents/Playground/projects/local_job_resume_pipeline/data/deliverables/resume_portfolio/by_company/grid/2026-04-04/69d13d7bcfdc6132f9442412/resume.md","/Users/jingyizhang/Documents/Playground/projects/local_job_resume_pipeline/data/deliverables/resume_portfolio/by_company/grid/2026-04-04/69d13d7bcfdc6132f9442412/resume.md")</f>
      </c>
      <c r="Q310"/>
      <c r="R310">
        <f>HYPERLINK("https://jobs.lever.co/Grid/637a49f0-7244-4bca-8093-232cb27b42c0/apply?lever-source=jobright","https://jobs.lever.co/Grid/637a49f0-7244-4bca-8093-232cb27b42c0/apply?lever-source=jobright")</f>
      </c>
    </row>
    <row r="311">
      <c r="A311" t="inlineStr">
        <is>
          <t>Columbia University Irving Medical Center</t>
        </is>
      </c>
      <c r="B311" t="inlineStr">
        <is>
          <t>2026-04-04 11:29:21</t>
        </is>
      </c>
      <c r="C311" t="inlineStr">
        <is>
          <t>69d13c61cfdc6132f9442405</t>
        </is>
      </c>
      <c r="D311" t="inlineStr">
        <is>
          <t>Pathology Software Engineer</t>
        </is>
      </c>
      <c r="E311" t="inlineStr">
        <is>
          <t>1_Discovered</t>
        </is>
      </c>
      <c r="F311" t="inlineStr">
        <is>
          <t>fanout_batch</t>
        </is>
      </c>
      <c r="G311" t="inlineStr">
        <is>
          <t>reuse</t>
        </is>
      </c>
      <c r="H311" t="inlineStr">
        <is>
          <t>seed_cisco_backend_api</t>
        </is>
      </c>
      <c r="I311" t="inlineStr">
        <is>
          <t>Cisco Backend API</t>
        </is>
      </c>
      <c r="J311"/>
      <c r="K311"/>
      <c r="L311"/>
      <c r="M311"/>
      <c r="N311"/>
      <c r="O311"/>
      <c r="P311"/>
      <c r="Q311"/>
      <c r="R311">
        <f>HYPERLINK("https://opportunities.columbia.edu/jobs/pathology-software-engineer-columbia-university-medical-center-new-york-united-states","https://opportunities.columbia.edu/jobs/pathology-software-engineer-columbia-university-medical-center-new-york-united-states")</f>
      </c>
    </row>
    <row r="312">
      <c r="A312" t="inlineStr">
        <is>
          <t>Intrinsic</t>
        </is>
      </c>
      <c r="B312" t="inlineStr">
        <is>
          <t>2026-04-04 11:04:22</t>
        </is>
      </c>
      <c r="C312" t="inlineStr">
        <is>
          <t>69991f13e0bddb6acac81f62</t>
        </is>
      </c>
      <c r="D312" t="inlineStr">
        <is>
          <t>Software Engineer, Data Infrastructure</t>
        </is>
      </c>
      <c r="E312" t="inlineStr">
        <is>
          <t>1_Discovered</t>
        </is>
      </c>
      <c r="F312" t="inlineStr">
        <is>
          <t>fanout_batch</t>
        </is>
      </c>
      <c r="G312" t="inlineStr">
        <is>
          <t>retarget</t>
        </is>
      </c>
      <c r="H312" t="inlineStr">
        <is>
          <t>seed_h2o_ai_engineer</t>
        </is>
      </c>
      <c r="I312" t="inlineStr">
        <is>
          <t>H2O AI Engineer</t>
        </is>
      </c>
      <c r="J312"/>
      <c r="K312"/>
      <c r="L312"/>
      <c r="M312"/>
      <c r="N312">
        <v>89.0</v>
      </c>
      <c r="O312" t="inlineStr">
        <is>
          <t>conditional_pass</t>
        </is>
      </c>
      <c r="P312">
        <f>HYPERLINK("file:///Users/jingyizhang/Documents/Playground/projects/local_job_resume_pipeline/data/deliverables/resume_portfolio/by_company/intrinsic/2026-04-04/69991f13e0bddb6acac81f62/resume.md","/Users/jingyizhang/Documents/Playground/projects/local_job_resume_pipeline/data/deliverables/resume_portfolio/by_company/intrinsic/2026-04-04/69991f13e0bddb6acac81f62/resume.md")</f>
      </c>
      <c r="Q312"/>
      <c r="R312">
        <f>HYPERLINK("https://boards.greenhouse.io/embed/job_app?token=5741158004&amp;utm_source=jobright","https://boards.greenhouse.io/embed/job_app?token=5741158004&amp;utm_source=jobright")</f>
      </c>
    </row>
    <row r="313">
      <c r="A313" t="inlineStr">
        <is>
          <t>Amazon</t>
        </is>
      </c>
      <c r="B313" t="inlineStr">
        <is>
          <t>2026-04-04 11:04:11</t>
        </is>
      </c>
      <c r="C313" t="inlineStr">
        <is>
          <t>697d74fd137a0510256697d9</t>
        </is>
      </c>
      <c r="D313" t="inlineStr">
        <is>
          <t>Software Development Engineer (ML), AGI Customization, AGI Customization</t>
        </is>
      </c>
      <c r="E313" t="inlineStr">
        <is>
          <t>1_Discovered</t>
        </is>
      </c>
      <c r="F313" t="inlineStr">
        <is>
          <t>seed_source</t>
        </is>
      </c>
      <c r="G313" t="inlineStr">
        <is>
          <t>seed_source</t>
        </is>
      </c>
      <c r="H313" t="inlineStr">
        <is>
          <t>seed_amazon_agi_ml_anchor</t>
        </is>
      </c>
      <c r="I313" t="inlineStr">
        <is>
          <t>Amazon AGI/LLM Anchor</t>
        </is>
      </c>
      <c r="J313" t="inlineStr">
        <is>
          <t>amazon_ai_ads_mainline</t>
        </is>
      </c>
      <c r="K313" t="inlineStr">
        <is>
          <t>mainline</t>
        </is>
      </c>
      <c r="L313"/>
      <c r="M313"/>
      <c r="N313">
        <v>93.6</v>
      </c>
      <c r="O313" t="inlineStr">
        <is>
          <t>pass</t>
        </is>
      </c>
      <c r="P313">
        <f>HYPERLINK("file:///Users/jingyizhang/Documents/Playground/projects/local_job_resume_pipeline/data/deliverables/resume_portfolio/by_company/amazon/2026-04-04/697d74fd137a0510256697d9/resume.md","/Users/jingyizhang/Documents/Playground/projects/local_job_resume_pipeline/data/deliverables/resume_portfolio/by_company/amazon/2026-04-04/697d74fd137a0510256697d9/resume.md")</f>
      </c>
      <c r="Q313"/>
      <c r="R313">
        <f>HYPERLINK("https://www.amazon.jobs/jobs/3170656/software-development-engineer-ml-agi-customization-agi-customization?cmpid=SPLICX0248M&amp;utm_source=linkedin.com&amp;utm_campaign=cxro&amp;utm_medium=social_media&amp;utm_content=job_posting&amp;ss=paid","https://www.amazon.jobs/jobs/3170656/software-development-engineer-ml-agi-customization-agi-customization?cmpid=SPLICX0248M&amp;utm_source=linkedin.com&amp;utm_campaign=cxro&amp;utm_medium=social_media&amp;utm_content=job_posting&amp;ss=paid")</f>
      </c>
    </row>
    <row r="314">
      <c r="A314" t="inlineStr">
        <is>
          <t>Amazon Web Services (AWS)</t>
        </is>
      </c>
      <c r="B314" t="inlineStr">
        <is>
          <t>2026-04-04 11:04:10</t>
        </is>
      </c>
      <c r="C314" t="inlineStr">
        <is>
          <t>697b58f01136d179eeeecbda</t>
        </is>
      </c>
      <c r="D314" t="inlineStr">
        <is>
          <t>Software Development Engineer, ML Systems, Annapurna Labs</t>
        </is>
      </c>
      <c r="E314" t="inlineStr">
        <is>
          <t>1_Discovered</t>
        </is>
      </c>
      <c r="F314" t="inlineStr">
        <is>
          <t>fanout_batch</t>
        </is>
      </c>
      <c r="G314" t="inlineStr">
        <is>
          <t>reuse</t>
        </is>
      </c>
      <c r="H314" t="inlineStr">
        <is>
          <t>seed_linkedin_mle_foundation</t>
        </is>
      </c>
      <c r="I314" t="inlineStr">
        <is>
          <t>LinkedIn MLE Foundation</t>
        </is>
      </c>
      <c r="J314"/>
      <c r="K314"/>
      <c r="L314"/>
      <c r="M314"/>
      <c r="N314"/>
      <c r="O314"/>
      <c r="P314"/>
      <c r="Q314"/>
      <c r="R314">
        <f>HYPERLINK("https://www.amazon.jobs/jobs/3151411/software-development-engineer-ml-systems-annapurna-labs?cmpid=SPLICX0248M&amp;utm_source=linkedin.com&amp;utm_campaign=cxro&amp;utm_medium=social_media&amp;utm_content=job_posting&amp;ss=paid","https://www.amazon.jobs/jobs/3151411/software-development-engineer-ml-systems-annapurna-labs?cmpid=SPLICX0248M&amp;utm_source=linkedin.com&amp;utm_campaign=cxro&amp;utm_medium=social_media&amp;utm_content=job_posting&amp;ss=paid")</f>
      </c>
    </row>
    <row r="315">
      <c r="A315" t="inlineStr">
        <is>
          <t>Whatnot</t>
        </is>
      </c>
      <c r="B315" t="inlineStr">
        <is>
          <t>2026-04-04 11:03:48</t>
        </is>
      </c>
      <c r="C315" t="inlineStr">
        <is>
          <t>6929a3d166796e3028f8ccae</t>
        </is>
      </c>
      <c r="D315" t="inlineStr">
        <is>
          <t>Software Engineer, Fraud</t>
        </is>
      </c>
      <c r="E315" t="inlineStr">
        <is>
          <t>1_Discovered</t>
        </is>
      </c>
      <c r="F315" t="inlineStr">
        <is>
          <t>fanout_batch</t>
        </is>
      </c>
      <c r="G315" t="inlineStr">
        <is>
          <t>retarget</t>
        </is>
      </c>
      <c r="H315" t="inlineStr">
        <is>
          <t>seed_amazon_agi_ml_anchor</t>
        </is>
      </c>
      <c r="I315" t="inlineStr">
        <is>
          <t>Amazon AGI/LLM Anchor</t>
        </is>
      </c>
      <c r="J315" t="inlineStr">
        <is>
          <t>amazon_ai_ads_mainline</t>
        </is>
      </c>
      <c r="K315" t="inlineStr">
        <is>
          <t>mainline</t>
        </is>
      </c>
      <c r="L315"/>
      <c r="M315"/>
      <c r="N315">
        <v>94.9</v>
      </c>
      <c r="O315" t="inlineStr">
        <is>
          <t>pass</t>
        </is>
      </c>
      <c r="P315">
        <f>HYPERLINK("file:///Users/jingyizhang/Documents/Playground/projects/local_job_resume_pipeline/data/deliverables/resume_portfolio/by_company/whatnot/2026-04-04/6929a3d166796e3028f8ccae/resume.md","/Users/jingyizhang/Documents/Playground/projects/local_job_resume_pipeline/data/deliverables/resume_portfolio/by_company/whatnot/2026-04-04/6929a3d166796e3028f8ccae/resume.md")</f>
      </c>
      <c r="Q315"/>
      <c r="R315">
        <f>HYPERLINK("https://jobs.ashbyhq.com/whatnot/31b68e8c-6edb-414f-bec0-5375c2b52332/application?utm_source=LinkedInJobWrapping","https://jobs.ashbyhq.com/whatnot/31b68e8c-6edb-414f-bec0-5375c2b52332/application?utm_source=LinkedInJobWrapping")</f>
      </c>
    </row>
    <row r="316">
      <c r="A316" t="inlineStr">
        <is>
          <t>Twitch</t>
        </is>
      </c>
      <c r="B316" t="inlineStr">
        <is>
          <t>2026-04-04 11:03:48</t>
        </is>
      </c>
      <c r="C316" t="inlineStr">
        <is>
          <t>69606923a112b402660f2a4f</t>
        </is>
      </c>
      <c r="D316" t="inlineStr">
        <is>
          <t>Software Engineer I - Ads Demand Enablement</t>
        </is>
      </c>
      <c r="E316" t="inlineStr">
        <is>
          <t>1_Discovered</t>
        </is>
      </c>
      <c r="F316" t="inlineStr">
        <is>
          <t>retarget_trial</t>
        </is>
      </c>
      <c r="G316" t="inlineStr">
        <is>
          <t>reuse</t>
        </is>
      </c>
      <c r="H316" t="inlineStr">
        <is>
          <t>candidate_itential_generalist_algorithms</t>
        </is>
      </c>
      <c r="I316" t="inlineStr">
        <is>
          <t>Itential Generalist Algorithms</t>
        </is>
      </c>
      <c r="J316"/>
      <c r="K316"/>
      <c r="L316"/>
      <c r="M316"/>
      <c r="N316"/>
      <c r="O316"/>
      <c r="P316"/>
      <c r="Q316"/>
      <c r="R316">
        <f>HYPERLINK("https://boards.greenhouse.io/embed/job_app?token=8162197002&amp;utm_source=jobright","https://boards.greenhouse.io/embed/job_app?token=8162197002&amp;utm_source=jobright")</f>
      </c>
    </row>
    <row r="317">
      <c r="A317" t="inlineStr">
        <is>
          <t>Amazon Web Services (AWS)</t>
        </is>
      </c>
      <c r="B317" t="inlineStr">
        <is>
          <t>2026-04-04 11:03:46</t>
        </is>
      </c>
      <c r="C317" t="inlineStr">
        <is>
          <t>697b5fcc1423772304eb7c54</t>
        </is>
      </c>
      <c r="D317" t="inlineStr">
        <is>
          <t>Software Development Engineer, ML Systems, Annapurna Labs</t>
        </is>
      </c>
      <c r="E317" t="inlineStr">
        <is>
          <t>1_Discovered</t>
        </is>
      </c>
      <c r="F317" t="inlineStr">
        <is>
          <t>fanout_batch</t>
        </is>
      </c>
      <c r="G317" t="inlineStr">
        <is>
          <t>reuse</t>
        </is>
      </c>
      <c r="H317" t="inlineStr">
        <is>
          <t>seed_linkedin_mle_foundation</t>
        </is>
      </c>
      <c r="I317" t="inlineStr">
        <is>
          <t>LinkedIn MLE Foundation</t>
        </is>
      </c>
      <c r="J317"/>
      <c r="K317"/>
      <c r="L317"/>
      <c r="M317"/>
      <c r="N317"/>
      <c r="O317"/>
      <c r="P317"/>
      <c r="Q317"/>
      <c r="R317">
        <f>HYPERLINK("https://www.amazon.jobs/jobs/3062273/software-development-engineer-ml-systems-annapurna-labs?cmpid=SPLICX0248M&amp;utm_source=linkedin.com&amp;utm_campaign=cxro&amp;utm_medium=social_media&amp;utm_content=job_posting&amp;ss=paid","https://www.amazon.jobs/jobs/3062273/software-development-engineer-ml-systems-annapurna-labs?cmpid=SPLICX0248M&amp;utm_source=linkedin.com&amp;utm_campaign=cxro&amp;utm_medium=social_media&amp;utm_content=job_posting&amp;ss=paid")</f>
      </c>
    </row>
    <row r="318">
      <c r="A318" t="inlineStr">
        <is>
          <t>Coherent Corp.</t>
        </is>
      </c>
      <c r="B318" t="inlineStr">
        <is>
          <t>2026-04-04 10:40:01</t>
        </is>
      </c>
      <c r="C318" t="inlineStr">
        <is>
          <t>69b4c47b06c1ba00c54643ae</t>
        </is>
      </c>
      <c r="D318" t="inlineStr">
        <is>
          <t>Software Engineer</t>
        </is>
      </c>
      <c r="E318" t="inlineStr">
        <is>
          <t>1_Discovered</t>
        </is>
      </c>
      <c r="F318" t="inlineStr">
        <is>
          <t>fanout_batch</t>
        </is>
      </c>
      <c r="G318" t="inlineStr">
        <is>
          <t>retarget</t>
        </is>
      </c>
      <c r="H318" t="inlineStr">
        <is>
          <t>seed_microsoft_polyglot_generalist</t>
        </is>
      </c>
      <c r="I318" t="inlineStr">
        <is>
          <t>Microsoft Polyglot Generalist</t>
        </is>
      </c>
      <c r="J318"/>
      <c r="K318"/>
      <c r="L318"/>
      <c r="M318"/>
      <c r="N318">
        <v>94.8</v>
      </c>
      <c r="O318" t="inlineStr">
        <is>
          <t>pass</t>
        </is>
      </c>
      <c r="P318">
        <f>HYPERLINK("file:///Users/jingyizhang/Documents/Playground/projects/local_job_resume_pipeline/data/deliverables/resume_portfolio/by_company/coherent-corp/2026-04-04/69b4c47b06c1ba00c54643ae/resume.md","/Users/jingyizhang/Documents/Playground/projects/local_job_resume_pipeline/data/deliverables/resume_portfolio/by_company/coherent-corp/2026-04-04/69b4c47b06c1ba00c54643ae/resume.md")</f>
      </c>
      <c r="Q318"/>
      <c r="R318">
        <f>HYPERLINK("https://hcwp.fa.us2.oraclecloud.com/hcmUI/CandidateExperience/en/job/2010919/?utm_medium=jobshare","https://hcwp.fa.us2.oraclecloud.com/hcmUI/CandidateExperience/en/job/2010919/?utm_medium=jobshare")</f>
      </c>
    </row>
    <row r="319">
      <c r="A319" t="inlineStr">
        <is>
          <t>Amazon</t>
        </is>
      </c>
      <c r="B319" t="inlineStr">
        <is>
          <t>2026-04-04 10:39:56</t>
        </is>
      </c>
      <c r="C319" t="inlineStr">
        <is>
          <t>697dbfc67f40342e15d6a2d4</t>
        </is>
      </c>
      <c r="D319" t="inlineStr">
        <is>
          <t>Data Scientist, LM Simulations Engineering, AMZL Simulations &amp; Analytics Engineering</t>
        </is>
      </c>
      <c r="E319" t="inlineStr">
        <is>
          <t>1_Discovered</t>
        </is>
      </c>
      <c r="F319" t="inlineStr">
        <is>
          <t>fanout_batch</t>
        </is>
      </c>
      <c r="G319" t="inlineStr">
        <is>
          <t>reuse</t>
        </is>
      </c>
      <c r="H319" t="inlineStr">
        <is>
          <t>seed_amazon_agi_ml_anchor</t>
        </is>
      </c>
      <c r="I319" t="inlineStr">
        <is>
          <t>Amazon AGI/LLM Anchor</t>
        </is>
      </c>
      <c r="J319" t="inlineStr">
        <is>
          <t>amazon_ai_ads_mainline</t>
        </is>
      </c>
      <c r="K319" t="inlineStr">
        <is>
          <t>mainline</t>
        </is>
      </c>
      <c r="L319"/>
      <c r="M319"/>
      <c r="N319"/>
      <c r="O319"/>
      <c r="P319"/>
      <c r="Q319"/>
      <c r="R319">
        <f>HYPERLINK("https://www.amazon.jobs/jobs/3171109/data-scientist-lm-simulations-engineering-amzl-simulations--analytics-engineering?cmpid=SPLICX0248M&amp;utm_source=linkedin.com&amp;utm_campaign=cxro&amp;utm_medium=social_media&amp;utm_content=job_posting&amp;ss=paid","https://www.amazon.jobs/jobs/3171109/data-scientist-lm-simulations-engineering-amzl-simulations--analytics-engineering?cmpid=SPLICX0248M&amp;utm_source=linkedin.com&amp;utm_campaign=cxro&amp;utm_medium=social_media&amp;utm_content=job_posting&amp;ss=paid")</f>
      </c>
    </row>
    <row r="320">
      <c r="A320" t="inlineStr">
        <is>
          <t>SS&amp;C Technologies</t>
        </is>
      </c>
      <c r="B320" t="inlineStr">
        <is>
          <t>2026-04-04 10:39:48</t>
        </is>
      </c>
      <c r="C320" t="inlineStr">
        <is>
          <t>69d130c4891d7b11cfce230e</t>
        </is>
      </c>
      <c r="D320" t="inlineStr">
        <is>
          <t>Sr. Software Developer</t>
        </is>
      </c>
      <c r="E320" t="inlineStr">
        <is>
          <t>1_Discovered</t>
        </is>
      </c>
      <c r="F320" t="inlineStr">
        <is>
          <t>fanout_batch</t>
        </is>
      </c>
      <c r="G320" t="inlineStr">
        <is>
          <t>retarget</t>
        </is>
      </c>
      <c r="H320" t="inlineStr">
        <is>
          <t>seed_generalist_dotnet_enterprise</t>
        </is>
      </c>
      <c r="I320" t="inlineStr">
        <is>
          <t>Generalist DotNet Enterprise</t>
        </is>
      </c>
      <c r="J320"/>
      <c r="K320"/>
      <c r="L320"/>
      <c r="M320"/>
      <c r="N320">
        <v>94.3</v>
      </c>
      <c r="O320" t="inlineStr">
        <is>
          <t>pass</t>
        </is>
      </c>
      <c r="P320">
        <f>HYPERLINK("file:///Users/jingyizhang/Documents/Playground/projects/local_job_resume_pipeline/data/deliverables/resume_portfolio/by_company/ss-c-technologies/2026-04-04/69d130c4891d7b11cfce230e/resume.md","/Users/jingyizhang/Documents/Playground/projects/local_job_resume_pipeline/data/deliverables/resume_portfolio/by_company/ss-c-technologies/2026-04-04/69d130c4891d7b11cfce230e/resume.md")</f>
      </c>
      <c r="Q320"/>
      <c r="R320">
        <f>HYPERLINK("https://www.linkedin.com/jobs/view/4344884037","https://www.linkedin.com/jobs/view/4344884037")</f>
      </c>
    </row>
    <row r="321">
      <c r="A321" t="inlineStr">
        <is>
          <t>Audible</t>
        </is>
      </c>
      <c r="B321" t="inlineStr">
        <is>
          <t>2026-04-04 10:39:47</t>
        </is>
      </c>
      <c r="C321" t="inlineStr">
        <is>
          <t>6997d78ace78e77b4fdc475f</t>
        </is>
      </c>
      <c r="D321" t="inlineStr">
        <is>
          <t>Data Scientist II (ADBL175)</t>
        </is>
      </c>
      <c r="E321" t="inlineStr">
        <is>
          <t>1_Discovered</t>
        </is>
      </c>
      <c r="F321" t="inlineStr">
        <is>
          <t>fanout_batch</t>
        </is>
      </c>
      <c r="G321" t="inlineStr">
        <is>
          <t>retarget</t>
        </is>
      </c>
      <c r="H321" t="inlineStr">
        <is>
          <t>seed_bytedance_ml_grad</t>
        </is>
      </c>
      <c r="I321" t="inlineStr">
        <is>
          <t>ByteDance ML Grad</t>
        </is>
      </c>
      <c r="J321"/>
      <c r="K321"/>
      <c r="L321"/>
      <c r="M321"/>
      <c r="N321">
        <v>95.3</v>
      </c>
      <c r="O321" t="inlineStr">
        <is>
          <t>pass</t>
        </is>
      </c>
      <c r="P321">
        <f>HYPERLINK("file:///Users/jingyizhang/Documents/Playground/projects/local_job_resume_pipeline/data/deliverables/resume_portfolio/by_company/audible/2026-04-04/6997d78ace78e77b4fdc475f/resume.md","/Users/jingyizhang/Documents/Playground/projects/local_job_resume_pipeline/data/deliverables/resume_portfolio/by_company/audible/2026-04-04/6997d78ace78e77b4fdc475f/resume.md")</f>
      </c>
      <c r="Q321"/>
      <c r="R321">
        <f>HYPERLINK("https://www.amazon.jobs/jobs/3185135/data-scientist-ii-adbl?cmpid=SPLICX0248M&amp;utm_source=linkedin.com&amp;utm_campaign=audible&amp;utm_medium=social_media&amp;utm_content=job_posting&amp;ss=paid","https://www.amazon.jobs/jobs/3185135/data-scientist-ii-adbl?cmpid=SPLICX0248M&amp;utm_source=linkedin.com&amp;utm_campaign=audible&amp;utm_medium=social_media&amp;utm_content=job_posting&amp;ss=paid")</f>
      </c>
    </row>
    <row r="322">
      <c r="A322" t="inlineStr">
        <is>
          <t>AQR Capital Management</t>
        </is>
      </c>
      <c r="B322" t="inlineStr">
        <is>
          <t>2026-04-04 10:39:47</t>
        </is>
      </c>
      <c r="C322" t="inlineStr">
        <is>
          <t>699754ffce78e77b4fdbb442</t>
        </is>
      </c>
      <c r="D322" t="inlineStr">
        <is>
          <t>Software Engineer - Quantitative Research</t>
        </is>
      </c>
      <c r="E322" t="inlineStr">
        <is>
          <t>1_Discovered</t>
        </is>
      </c>
      <c r="F322" t="inlineStr">
        <is>
          <t>seed_validation</t>
        </is>
      </c>
      <c r="G322" t="inlineStr">
        <is>
          <t>reuse</t>
        </is>
      </c>
      <c r="H322" t="inlineStr">
        <is>
          <t>seed_platform_ai_automation</t>
        </is>
      </c>
      <c r="I322" t="inlineStr">
        <is>
          <t>Platform AI Automation</t>
        </is>
      </c>
      <c r="J322"/>
      <c r="K322"/>
      <c r="L322"/>
      <c r="M322"/>
      <c r="N322"/>
      <c r="O322"/>
      <c r="P322"/>
      <c r="Q322"/>
      <c r="R322">
        <f>HYPERLINK("https://boards.greenhouse.io/embed/job_app?token=7308328&amp;utm_source=jobright","https://boards.greenhouse.io/embed/job_app?token=7308328&amp;utm_source=jobright")</f>
      </c>
    </row>
    <row r="323">
      <c r="A323" t="inlineStr">
        <is>
          <t>Amazon</t>
        </is>
      </c>
      <c r="B323" t="inlineStr">
        <is>
          <t>2026-04-04 10:39:46</t>
        </is>
      </c>
      <c r="C323" t="inlineStr">
        <is>
          <t>69982241e0bddb6acac725a3</t>
        </is>
      </c>
      <c r="D323" t="inlineStr">
        <is>
          <t>Software Development Engineer , Sponsored Products and Brands</t>
        </is>
      </c>
      <c r="E323" t="inlineStr">
        <is>
          <t>1_Discovered</t>
        </is>
      </c>
      <c r="F323" t="inlineStr">
        <is>
          <t>retarget_trial</t>
        </is>
      </c>
      <c r="G323" t="inlineStr">
        <is>
          <t>new_seed</t>
        </is>
      </c>
      <c r="H323" t="inlineStr">
        <is>
          <t>seed_amazon_agi_ml_anchor</t>
        </is>
      </c>
      <c r="I323" t="inlineStr">
        <is>
          <t>Amazon AGI/LLM Anchor</t>
        </is>
      </c>
      <c r="J323" t="inlineStr">
        <is>
          <t>amazon_ai_ads_mainline</t>
        </is>
      </c>
      <c r="K323" t="inlineStr">
        <is>
          <t>mainline</t>
        </is>
      </c>
      <c r="L323"/>
      <c r="M323"/>
      <c r="N323">
        <v>93.8</v>
      </c>
      <c r="O323" t="inlineStr">
        <is>
          <t>pass</t>
        </is>
      </c>
      <c r="P323">
        <f>HYPERLINK("file:///Users/jingyizhang/Documents/Playground/projects/local_job_resume_pipeline/data/deliverables/resume_portfolio/by_company/amazon/2026-04-04/69982241e0bddb6acac725a3/resume.md","/Users/jingyizhang/Documents/Playground/projects/local_job_resume_pipeline/data/deliverables/resume_portfolio/by_company/amazon/2026-04-04/69982241e0bddb6acac725a3/resume.md")</f>
      </c>
      <c r="Q323"/>
      <c r="R323">
        <f>HYPERLINK("https://www.amazon.jobs/jobs/3185733/software-development-engineer--sponsored-products-and-brands?cmpid=SPLICX0248M&amp;utm_source=linkedin.com&amp;utm_campaign=cxro&amp;utm_medium=social_media&amp;utm_content=job_posting&amp;ss=paid","https://www.amazon.jobs/jobs/3185733/software-development-engineer--sponsored-products-and-brands?cmpid=SPLICX0248M&amp;utm_source=linkedin.com&amp;utm_campaign=cxro&amp;utm_medium=social_media&amp;utm_content=job_posting&amp;ss=paid")</f>
      </c>
    </row>
    <row r="324">
      <c r="A324" t="inlineStr">
        <is>
          <t>Seismic</t>
        </is>
      </c>
      <c r="B324" t="inlineStr">
        <is>
          <t>2026-04-04 10:22:37</t>
        </is>
      </c>
      <c r="C324" t="inlineStr">
        <is>
          <t>69c7507f83ea553769fe2637</t>
        </is>
      </c>
      <c r="D324" t="inlineStr">
        <is>
          <t>Data Scientist II</t>
        </is>
      </c>
      <c r="E324" t="inlineStr">
        <is>
          <t>1_Discovered</t>
        </is>
      </c>
      <c r="F324" t="inlineStr">
        <is>
          <t>fanout_batch</t>
        </is>
      </c>
      <c r="G324" t="inlineStr">
        <is>
          <t>retarget</t>
        </is>
      </c>
      <c r="H324" t="inlineStr">
        <is>
          <t>seed_linkedin_mle_foundation</t>
        </is>
      </c>
      <c r="I324" t="inlineStr">
        <is>
          <t>LinkedIn MLE Foundation</t>
        </is>
      </c>
      <c r="J324"/>
      <c r="K324"/>
      <c r="L324"/>
      <c r="M324"/>
      <c r="N324">
        <v>93.4</v>
      </c>
      <c r="O324" t="inlineStr">
        <is>
          <t>pass</t>
        </is>
      </c>
      <c r="P324">
        <f>HYPERLINK("file:///Users/jingyizhang/Documents/Playground/projects/local_job_resume_pipeline/data/deliverables/resume_portfolio/by_company/seismic/2026-04-04/69c7507f83ea553769fe2637/resume.md","/Users/jingyizhang/Documents/Playground/projects/local_job_resume_pipeline/data/deliverables/resume_portfolio/by_company/seismic/2026-04-04/69c7507f83ea553769fe2637/resume.md")</f>
      </c>
      <c r="Q324"/>
      <c r="R324">
        <f>HYPERLINK("https://www.seismic.com/careers/job-detail/?jid=2133&amp;pid=17&amp;mode=apply&amp;iis=LinkedIn","https://www.seismic.com/careers/job-detail/?jid=2133&amp;pid=17&amp;mode=apply&amp;iis=LinkedIn")</f>
      </c>
    </row>
    <row r="325">
      <c r="A325" t="inlineStr">
        <is>
          <t>OpenAI</t>
        </is>
      </c>
      <c r="B325" t="inlineStr">
        <is>
          <t>2026-04-04 10:19:35</t>
        </is>
      </c>
      <c r="C325" t="inlineStr">
        <is>
          <t>69b4e6033b74eb1e2c825a6c</t>
        </is>
      </c>
      <c r="D325" t="inlineStr">
        <is>
          <t>Software Engineer, Backend (Cooperative AI)</t>
        </is>
      </c>
      <c r="E325" t="inlineStr">
        <is>
          <t>1_Discovered</t>
        </is>
      </c>
      <c r="F325" t="inlineStr">
        <is>
          <t>fanout_batch</t>
        </is>
      </c>
      <c r="G325" t="inlineStr">
        <is>
          <t>retarget</t>
        </is>
      </c>
      <c r="H325" t="inlineStr">
        <is>
          <t>seed_fullstack_dotnet_azure</t>
        </is>
      </c>
      <c r="I325" t="inlineStr">
        <is>
          <t>Fullstack DotNet Azure</t>
        </is>
      </c>
      <c r="J325"/>
      <c r="K325"/>
      <c r="L325"/>
      <c r="M325"/>
      <c r="N325">
        <v>94.4</v>
      </c>
      <c r="O325" t="inlineStr">
        <is>
          <t>pass</t>
        </is>
      </c>
      <c r="P325">
        <f>HYPERLINK("file:///Users/jingyizhang/Documents/Playground/projects/local_job_resume_pipeline/data/deliverables/resume_portfolio/by_company/openai/2026-04-04/69b4e6033b74eb1e2c825a6c/resume.md","/Users/jingyizhang/Documents/Playground/projects/local_job_resume_pipeline/data/deliverables/resume_portfolio/by_company/openai/2026-04-04/69b4e6033b74eb1e2c825a6c/resume.md")</f>
      </c>
      <c r="Q325"/>
      <c r="R325">
        <f>HYPERLINK("https://jobs.ashbyhq.com/openai/bd190cad-99ec-4fe7-8f8f-de96b5aa5969?utm_source=8lvZy0eqYJ","https://jobs.ashbyhq.com/openai/bd190cad-99ec-4fe7-8f8f-de96b5aa5969?utm_source=8lvZy0eqYJ")</f>
      </c>
    </row>
    <row r="326">
      <c r="A326" t="inlineStr">
        <is>
          <t>M3</t>
        </is>
      </c>
      <c r="B326" t="inlineStr">
        <is>
          <t>2026-04-04 10:14:50</t>
        </is>
      </c>
      <c r="C326" t="inlineStr">
        <is>
          <t>69977102ce78e77b4fdbc835</t>
        </is>
      </c>
      <c r="D326" t="inlineStr">
        <is>
          <t>Software Developer in Test</t>
        </is>
      </c>
      <c r="E326" t="inlineStr">
        <is>
          <t>1_Discovered</t>
        </is>
      </c>
      <c r="F326" t="inlineStr">
        <is>
          <t>fanout_batch</t>
        </is>
      </c>
      <c r="G326" t="inlineStr">
        <is>
          <t>retarget</t>
        </is>
      </c>
      <c r="H326" t="inlineStr">
        <is>
          <t>seed_magnite_sdet</t>
        </is>
      </c>
      <c r="I326" t="inlineStr">
        <is>
          <t>Magnite SDET</t>
        </is>
      </c>
      <c r="J326"/>
      <c r="K326"/>
      <c r="L326"/>
      <c r="M326"/>
      <c r="N326">
        <v>93.6</v>
      </c>
      <c r="O326" t="inlineStr">
        <is>
          <t>pass</t>
        </is>
      </c>
      <c r="P326">
        <f>HYPERLINK("file:///Users/jingyizhang/Documents/Playground/projects/local_job_resume_pipeline/data/deliverables/resume_portfolio/by_company/m3/2026-04-04/69977102ce78e77b4fdbc835/resume.md","/Users/jingyizhang/Documents/Playground/projects/local_job_resume_pipeline/data/deliverables/resume_portfolio/by_company/m3/2026-04-04/69977102ce78e77b4fdbc835/resume.md")</f>
      </c>
      <c r="Q326"/>
      <c r="R326">
        <f>HYPERLINK("https://boards.greenhouse.io/embed/job_app?token=7631238003&amp;utm_source=jobright","https://boards.greenhouse.io/embed/job_app?token=7631238003&amp;utm_source=jobright")</f>
      </c>
    </row>
    <row r="327">
      <c r="A327" t="inlineStr">
        <is>
          <t>Twitch</t>
        </is>
      </c>
      <c r="B327" t="inlineStr">
        <is>
          <t>2026-04-04 10:14:47</t>
        </is>
      </c>
      <c r="C327" t="inlineStr">
        <is>
          <t>697ca3113f57a33569664fd3</t>
        </is>
      </c>
      <c r="D327" t="inlineStr">
        <is>
          <t>Software Engineer, Creator Sponsorships</t>
        </is>
      </c>
      <c r="E327" t="inlineStr">
        <is>
          <t>1_Discovered</t>
        </is>
      </c>
      <c r="F327" t="inlineStr">
        <is>
          <t>fanout_batch</t>
        </is>
      </c>
      <c r="G327" t="inlineStr">
        <is>
          <t>reuse</t>
        </is>
      </c>
      <c r="H327" t="inlineStr">
        <is>
          <t>seed_itential_generalist_algorithms</t>
        </is>
      </c>
      <c r="I327" t="inlineStr">
        <is>
          <t>Itential Generalist Algorithms</t>
        </is>
      </c>
      <c r="J327"/>
      <c r="K327"/>
      <c r="L327"/>
      <c r="M327"/>
      <c r="N327"/>
      <c r="O327"/>
      <c r="P327"/>
      <c r="Q327"/>
      <c r="R327">
        <f>HYPERLINK("https://boards.greenhouse.io/embed/job_app?token=8345959002&amp;utm_source=jobright","https://boards.greenhouse.io/embed/job_app?token=8345959002&amp;utm_source=jobright")</f>
      </c>
    </row>
    <row r="328">
      <c r="A328" t="inlineStr">
        <is>
          <t>Helion</t>
        </is>
      </c>
      <c r="B328" t="inlineStr">
        <is>
          <t>2026-04-04 10:00:12</t>
        </is>
      </c>
      <c r="C328" t="inlineStr">
        <is>
          <t>69b45c133b74eb1e2c819503</t>
        </is>
      </c>
      <c r="D328" t="inlineStr">
        <is>
          <t>Software Engineer, DevOps/Infra</t>
        </is>
      </c>
      <c r="E328" t="inlineStr">
        <is>
          <t>1_Discovered</t>
        </is>
      </c>
      <c r="F328" t="inlineStr">
        <is>
          <t>fanout_batch</t>
        </is>
      </c>
      <c r="G328" t="inlineStr">
        <is>
          <t>retarget</t>
        </is>
      </c>
      <c r="H328" t="inlineStr">
        <is>
          <t>seed_fireblocks_sre_anchor</t>
        </is>
      </c>
      <c r="I328" t="inlineStr">
        <is>
          <t>Fireblocks SRE Anchor</t>
        </is>
      </c>
      <c r="J328"/>
      <c r="K328"/>
      <c r="L328"/>
      <c r="M328"/>
      <c r="N328">
        <v>87.4</v>
      </c>
      <c r="O328" t="inlineStr">
        <is>
          <t>fail</t>
        </is>
      </c>
      <c r="P328">
        <f>HYPERLINK("file:///Users/jingyizhang/Documents/Playground/projects/local_job_resume_pipeline/data/deliverables/resume_portfolio/by_company/helion/2026-04-04/69b45c133b74eb1e2c819503/resume.md","/Users/jingyizhang/Documents/Playground/projects/local_job_resume_pipeline/data/deliverables/resume_portfolio/by_company/helion/2026-04-04/69b45c133b74eb1e2c819503/resume.md")</f>
      </c>
      <c r="Q328"/>
      <c r="R328">
        <f>HYPERLINK("https://jobs.ashbyhq.com/helion/6b2ee1c2-509e-4433-9a60-3f79d7dfcd42/application?utm_source=nDRVoAzkJb","https://jobs.ashbyhq.com/helion/6b2ee1c2-509e-4433-9a60-3f79d7dfcd42/application?utm_source=nDRVoAzkJb")</f>
      </c>
    </row>
    <row r="329">
      <c r="A329" t="inlineStr">
        <is>
          <t>1Password</t>
        </is>
      </c>
      <c r="B329" t="inlineStr">
        <is>
          <t>2026-04-04 10:00:09</t>
        </is>
      </c>
      <c r="C329" t="inlineStr">
        <is>
          <t>69b465443b74eb1e2c819be4</t>
        </is>
      </c>
      <c r="D329" t="inlineStr">
        <is>
          <t>Junior Developer, Billing Infrastructure</t>
        </is>
      </c>
      <c r="E329" t="inlineStr">
        <is>
          <t>1_Discovered</t>
        </is>
      </c>
      <c r="F329" t="inlineStr">
        <is>
          <t>seed_validation</t>
        </is>
      </c>
      <c r="G329" t="inlineStr">
        <is>
          <t>reuse</t>
        </is>
      </c>
      <c r="H329" t="inlineStr">
        <is>
          <t>seed_backend_java_spring_api</t>
        </is>
      </c>
      <c r="I329" t="inlineStr">
        <is>
          <t>Backend Java Spring API</t>
        </is>
      </c>
      <c r="J329"/>
      <c r="K329"/>
      <c r="L329"/>
      <c r="M329"/>
      <c r="N329"/>
      <c r="O329"/>
      <c r="P329"/>
      <c r="Q329"/>
      <c r="R329">
        <f>HYPERLINK("https://jobs.ashbyhq.com/1password/90785f61-06ca-44c2-830e-ced7a59902f4?utm_source=lipromo","https://jobs.ashbyhq.com/1password/90785f61-06ca-44c2-830e-ced7a59902f4?utm_source=lipromo")</f>
      </c>
    </row>
    <row r="330">
      <c r="A330" t="inlineStr">
        <is>
          <t>Vulcan Materials Company</t>
        </is>
      </c>
      <c r="B330" t="inlineStr">
        <is>
          <t>2026-04-04 09:58:04</t>
        </is>
      </c>
      <c r="C330" t="inlineStr">
        <is>
          <t>69c918771818a24cd84d9876</t>
        </is>
      </c>
      <c r="D330" t="inlineStr">
        <is>
          <t>Applied Analytics Engineer</t>
        </is>
      </c>
      <c r="E330" t="inlineStr">
        <is>
          <t>1_Discovered</t>
        </is>
      </c>
      <c r="F330" t="inlineStr">
        <is>
          <t>fanout_batch</t>
        </is>
      </c>
      <c r="G330" t="inlineStr">
        <is>
          <t>retarget</t>
        </is>
      </c>
      <c r="H330" t="inlineStr">
        <is>
          <t>seed_linkedin_mle_foundation</t>
        </is>
      </c>
      <c r="I330" t="inlineStr">
        <is>
          <t>LinkedIn MLE Foundation</t>
        </is>
      </c>
      <c r="J330"/>
      <c r="K330"/>
      <c r="L330"/>
      <c r="M330"/>
      <c r="N330">
        <v>84.5</v>
      </c>
      <c r="O330" t="inlineStr">
        <is>
          <t>fail</t>
        </is>
      </c>
      <c r="P330">
        <f>HYPERLINK("file:///Users/jingyizhang/Documents/Playground/projects/local_job_resume_pipeline/data/deliverables/resume_portfolio/by_company/vulcan-materials-company/2026-04-04/69c918771818a24cd84d9876/resume.md","/Users/jingyizhang/Documents/Playground/projects/local_job_resume_pipeline/data/deliverables/resume_portfolio/by_company/vulcan-materials-company/2026-04-04/69c918771818a24cd84d9876/resume.md")</f>
      </c>
      <c r="Q330"/>
      <c r="R330">
        <f>HYPERLINK("https://vulcanmat.taleo.net/careersection/2/jobdetail.ftl?job=601117&amp;source=LinkedIn&amp;src=LinkedIn","https://vulcanmat.taleo.net/careersection/2/jobdetail.ftl?job=601117&amp;source=LinkedIn&amp;src=LinkedIn")</f>
      </c>
    </row>
    <row r="331">
      <c r="A331" t="inlineStr">
        <is>
          <t>Coinbase</t>
        </is>
      </c>
      <c r="B331" t="inlineStr">
        <is>
          <t>2026-04-04 09:56:38</t>
        </is>
      </c>
      <c r="C331" t="inlineStr">
        <is>
          <t>69976de0ce78e77b4fdbc4d7</t>
        </is>
      </c>
      <c r="D331" t="inlineStr">
        <is>
          <t>Software Engineer, DevSec</t>
        </is>
      </c>
      <c r="E331" t="inlineStr">
        <is>
          <t>1_Discovered</t>
        </is>
      </c>
      <c r="F331" t="inlineStr">
        <is>
          <t>fanout_batch</t>
        </is>
      </c>
      <c r="G331" t="inlineStr">
        <is>
          <t>retarget</t>
        </is>
      </c>
      <c r="H331" t="inlineStr">
        <is>
          <t>seed_fireblocks_sre_anchor</t>
        </is>
      </c>
      <c r="I331" t="inlineStr">
        <is>
          <t>Fireblocks SRE Anchor</t>
        </is>
      </c>
      <c r="J331"/>
      <c r="K331"/>
      <c r="L331"/>
      <c r="M331"/>
      <c r="N331">
        <v>95.2</v>
      </c>
      <c r="O331" t="inlineStr">
        <is>
          <t>pass</t>
        </is>
      </c>
      <c r="P331">
        <f>HYPERLINK("file:///Users/jingyizhang/Documents/Playground/projects/local_job_resume_pipeline/data/deliverables/resume_portfolio/by_company/coinbase/2026-04-04/69976de0ce78e77b4fdbc4d7/resume.md","/Users/jingyizhang/Documents/Playground/projects/local_job_resume_pipeline/data/deliverables/resume_portfolio/by_company/coinbase/2026-04-04/69976de0ce78e77b4fdbc4d7/resume.md")</f>
      </c>
      <c r="Q331"/>
      <c r="R331">
        <f>HYPERLINK("https://grnh.se/kd0i5j4a1us?gh_src=20687b321us&amp;source=LinkedIn","https://grnh.se/kd0i5j4a1us?gh_src=20687b321us&amp;source=LinkedIn")</f>
      </c>
    </row>
    <row r="332">
      <c r="A332" t="inlineStr">
        <is>
          <t>Perplexity</t>
        </is>
      </c>
      <c r="B332" t="inlineStr">
        <is>
          <t>2026-04-04 09:44:56</t>
        </is>
      </c>
      <c r="C332" t="inlineStr">
        <is>
          <t>69469b187d506e3808f1ef06</t>
        </is>
      </c>
      <c r="D332" t="inlineStr">
        <is>
          <t>AI Software Engineer - Agents</t>
        </is>
      </c>
      <c r="E332" t="inlineStr">
        <is>
          <t>1_Discovered</t>
        </is>
      </c>
      <c r="F332" t="inlineStr">
        <is>
          <t>fanout_batch</t>
        </is>
      </c>
      <c r="G332" t="inlineStr">
        <is>
          <t>retarget</t>
        </is>
      </c>
      <c r="H332" t="inlineStr">
        <is>
          <t>seed_microsoft_polyglot_generalist</t>
        </is>
      </c>
      <c r="I332" t="inlineStr">
        <is>
          <t>Microsoft Polyglot Generalist</t>
        </is>
      </c>
      <c r="J332"/>
      <c r="K332"/>
      <c r="L332"/>
      <c r="M332"/>
      <c r="N332">
        <v>95.1</v>
      </c>
      <c r="O332" t="inlineStr">
        <is>
          <t>pass</t>
        </is>
      </c>
      <c r="P332">
        <f>HYPERLINK("file:///Users/jingyizhang/Documents/Playground/projects/local_job_resume_pipeline/data/deliverables/resume_portfolio/by_company/perplexity/2026-04-04/69469b187d506e3808f1ef06/resume.md","/Users/jingyizhang/Documents/Playground/projects/local_job_resume_pipeline/data/deliverables/resume_portfolio/by_company/perplexity/2026-04-04/69469b187d506e3808f1ef06/resume.md")</f>
      </c>
      <c r="Q332"/>
      <c r="R332">
        <f>HYPERLINK("https://jobs.ashbyhq.com/Perplexity/bc1a6878-8de9-48c2-a791-95b2f8f27261/application?utm_source=linkedinpaid","https://jobs.ashbyhq.com/Perplexity/bc1a6878-8de9-48c2-a791-95b2f8f27261/application?utm_source=linkedinpaid")</f>
      </c>
    </row>
    <row r="333">
      <c r="A333" t="inlineStr">
        <is>
          <t>Fireblocks</t>
        </is>
      </c>
      <c r="B333" t="inlineStr">
        <is>
          <t>2026-04-04 09:36:01</t>
        </is>
      </c>
      <c r="C333" t="inlineStr">
        <is>
          <t>6997741fce78e77b4fdbcb82</t>
        </is>
      </c>
      <c r="D333" t="inlineStr">
        <is>
          <t>Site Reliability Engineer</t>
        </is>
      </c>
      <c r="E333" t="inlineStr">
        <is>
          <t>1_Discovered</t>
        </is>
      </c>
      <c r="F333" t="inlineStr">
        <is>
          <t>seed_source</t>
        </is>
      </c>
      <c r="G333" t="inlineStr">
        <is>
          <t>seed_source</t>
        </is>
      </c>
      <c r="H333" t="inlineStr">
        <is>
          <t>seed_fireblocks_sre_anchor</t>
        </is>
      </c>
      <c r="I333" t="inlineStr">
        <is>
          <t>Fireblocks SRE Anchor</t>
        </is>
      </c>
      <c r="J333"/>
      <c r="K333"/>
      <c r="L333"/>
      <c r="M333"/>
      <c r="N333">
        <v>94.5</v>
      </c>
      <c r="O333" t="inlineStr">
        <is>
          <t>pass</t>
        </is>
      </c>
      <c r="P333">
        <f>HYPERLINK("file:///Users/jingyizhang/Documents/Playground/projects/local_job_resume_pipeline/data/deliverables/resume_portfolio/by_company/fireblocks/2026-04-04/6997741fce78e77b4fdbcb82/resume.md","/Users/jingyizhang/Documents/Playground/projects/local_job_resume_pipeline/data/deliverables/resume_portfolio/by_company/fireblocks/2026-04-04/6997741fce78e77b4fdbcb82/resume.md")</f>
      </c>
      <c r="Q333"/>
      <c r="R333">
        <f>HYPERLINK("https://boards.greenhouse.io/embed/job_app?token=4656035006&amp;utm_source=jobright","https://boards.greenhouse.io/embed/job_app?token=4656035006&amp;utm_source=jobright")</f>
      </c>
    </row>
    <row r="334">
      <c r="A334" t="inlineStr">
        <is>
          <t>Mercari US</t>
        </is>
      </c>
      <c r="B334" t="inlineStr">
        <is>
          <t>2026-04-04 09:33:57</t>
        </is>
      </c>
      <c r="C334" t="inlineStr">
        <is>
          <t>69c2df1794007a2195dee428</t>
        </is>
      </c>
      <c r="D334" t="inlineStr">
        <is>
          <t>Software Engineer, Data</t>
        </is>
      </c>
      <c r="E334" t="inlineStr">
        <is>
          <t>1_Discovered</t>
        </is>
      </c>
      <c r="F334" t="inlineStr">
        <is>
          <t>fanout_batch</t>
        </is>
      </c>
      <c r="G334" t="inlineStr">
        <is>
          <t>retarget</t>
        </is>
      </c>
      <c r="H334" t="inlineStr">
        <is>
          <t>seed_qualified_health_data_engineer</t>
        </is>
      </c>
      <c r="I334" t="inlineStr">
        <is>
          <t>Qualified Health Data Engineer</t>
        </is>
      </c>
      <c r="J334"/>
      <c r="K334"/>
      <c r="L334"/>
      <c r="M334"/>
      <c r="N334">
        <v>94.5</v>
      </c>
      <c r="O334" t="inlineStr">
        <is>
          <t>pass</t>
        </is>
      </c>
      <c r="P334">
        <f>HYPERLINK("file:///Users/jingyizhang/Documents/Playground/projects/local_job_resume_pipeline/data/deliverables/resume_portfolio/by_company/mercari-us/2026-04-04/69c2df1794007a2195dee428/resume.md","/Users/jingyizhang/Documents/Playground/projects/local_job_resume_pipeline/data/deliverables/resume_portfolio/by_company/mercari-us/2026-04-04/69c2df1794007a2195dee428/resume.md")</f>
      </c>
      <c r="Q334"/>
      <c r="R334">
        <f>HYPERLINK("https://boards.greenhouse.io/embed/job_app?token=8476385002&amp;utm_source=jobright","https://boards.greenhouse.io/embed/job_app?token=8476385002&amp;utm_source=jobright")</f>
      </c>
    </row>
    <row r="335">
      <c r="A335" t="inlineStr">
        <is>
          <t>MaintainX</t>
        </is>
      </c>
      <c r="B335" t="inlineStr">
        <is>
          <t>2026-04-04 09:33:06</t>
        </is>
      </c>
      <c r="C335" t="inlineStr">
        <is>
          <t>6973ad97206da320f49db13f</t>
        </is>
      </c>
      <c r="D335" t="inlineStr">
        <is>
          <t>Integration Developer</t>
        </is>
      </c>
      <c r="E335" t="inlineStr">
        <is>
          <t>1_Discovered</t>
        </is>
      </c>
      <c r="F335" t="inlineStr">
        <is>
          <t>fanout_batch</t>
        </is>
      </c>
      <c r="G335" t="inlineStr">
        <is>
          <t>reuse</t>
        </is>
      </c>
      <c r="H335" t="inlineStr">
        <is>
          <t>seed_microsoft_polyglot_generalist</t>
        </is>
      </c>
      <c r="I335" t="inlineStr">
        <is>
          <t>Microsoft Polyglot Generalist</t>
        </is>
      </c>
      <c r="J335"/>
      <c r="K335"/>
      <c r="L335"/>
      <c r="M335"/>
      <c r="N335"/>
      <c r="O335"/>
      <c r="P335"/>
      <c r="Q335"/>
      <c r="R335">
        <f>HYPERLINK("https://boards.greenhouse.io/embed/job_app?token=5032750007&amp;utm_source=jobright","https://boards.greenhouse.io/embed/job_app?token=5032750007&amp;utm_source=jobright")</f>
      </c>
    </row>
    <row r="336">
      <c r="A336" t="inlineStr">
        <is>
          <t>McCarthy Holdings, Inc.</t>
        </is>
      </c>
      <c r="B336" t="inlineStr">
        <is>
          <t>2026-04-04 09:31:48</t>
        </is>
      </c>
      <c r="C336" t="inlineStr">
        <is>
          <t>697d28d83f57a3356966e7e4</t>
        </is>
      </c>
      <c r="D336" t="inlineStr">
        <is>
          <t>AI Analyst II</t>
        </is>
      </c>
      <c r="E336" t="inlineStr">
        <is>
          <t>1_Discovered</t>
        </is>
      </c>
      <c r="F336" t="inlineStr">
        <is>
          <t>fanout_batch</t>
        </is>
      </c>
      <c r="G336" t="inlineStr">
        <is>
          <t>retarget</t>
        </is>
      </c>
      <c r="H336" t="inlineStr">
        <is>
          <t>seed_h2o_ai_engineer</t>
        </is>
      </c>
      <c r="I336" t="inlineStr">
        <is>
          <t>H2O AI Engineer</t>
        </is>
      </c>
      <c r="J336"/>
      <c r="K336"/>
      <c r="L336"/>
      <c r="M336"/>
      <c r="N336">
        <v>95.2</v>
      </c>
      <c r="O336" t="inlineStr">
        <is>
          <t>pass</t>
        </is>
      </c>
      <c r="P336">
        <f>HYPERLINK("file:///Users/jingyizhang/Documents/Playground/projects/local_job_resume_pipeline/data/deliverables/resume_portfolio/by_company/mccarthy-holdings-inc/2026-04-04/697d28d83f57a3356966e7e4/resume.md","/Users/jingyizhang/Documents/Playground/projects/local_job_resume_pipeline/data/deliverables/resume_portfolio/by_company/mccarthy-holdings-inc/2026-04-04/697d28d83f57a3356966e7e4/resume.md")</f>
      </c>
      <c r="Q336"/>
      <c r="R336">
        <f>HYPERLINK("https://jobs.jobvite.com/mccarthy-building-co/job/oh9wzfwf?nl=1&amp;__jvst=Job+Board&amp;__jvsd=LinkedIn","https://jobs.jobvite.com/mccarthy-building-co/job/oh9wzfwf?nl=1&amp;__jvst=Job+Board&amp;__jvsd=LinkedIn")</f>
      </c>
    </row>
    <row r="337">
      <c r="A337" t="inlineStr">
        <is>
          <t>Nova Credit</t>
        </is>
      </c>
      <c r="B337" t="inlineStr">
        <is>
          <t>2026-04-04 09:22:46</t>
        </is>
      </c>
      <c r="C337" t="inlineStr">
        <is>
          <t>69aebfc15224a240f103c321</t>
        </is>
      </c>
      <c r="D337" t="inlineStr">
        <is>
          <t>Mid Level Software Engineer</t>
        </is>
      </c>
      <c r="E337" t="inlineStr">
        <is>
          <t>1_Discovered</t>
        </is>
      </c>
      <c r="F337" t="inlineStr">
        <is>
          <t>seed_validation</t>
        </is>
      </c>
      <c r="G337" t="inlineStr">
        <is>
          <t>reuse</t>
        </is>
      </c>
      <c r="H337" t="inlineStr">
        <is>
          <t>seed_egen_fullstack_node</t>
        </is>
      </c>
      <c r="I337" t="inlineStr">
        <is>
          <t>Egen Fullstack Node</t>
        </is>
      </c>
      <c r="J337"/>
      <c r="K337"/>
      <c r="L337"/>
      <c r="M337"/>
      <c r="N337"/>
      <c r="O337"/>
      <c r="P337"/>
      <c r="Q337"/>
      <c r="R337">
        <f>HYPERLINK("https://boards.greenhouse.io/embed/job_app?token=4037114009&amp;utm_source=jobright","https://boards.greenhouse.io/embed/job_app?token=4037114009&amp;utm_source=jobright")</f>
      </c>
    </row>
    <row r="338">
      <c r="A338" t="inlineStr">
        <is>
          <t>Microsoft</t>
        </is>
      </c>
      <c r="B338" t="inlineStr">
        <is>
          <t>2026-04-04 09:22:16</t>
        </is>
      </c>
      <c r="C338" t="inlineStr">
        <is>
          <t>69d11e98cfdc6132f9441a3a</t>
        </is>
      </c>
      <c r="D338" t="inlineStr">
        <is>
          <t>Senior Software Engineer</t>
        </is>
      </c>
      <c r="E338" t="inlineStr">
        <is>
          <t>1_Discovered</t>
        </is>
      </c>
      <c r="F338" t="inlineStr">
        <is>
          <t>fanout_batch</t>
        </is>
      </c>
      <c r="G338" t="inlineStr">
        <is>
          <t>reuse</t>
        </is>
      </c>
      <c r="H338" t="inlineStr">
        <is>
          <t>seed_microsoft_coreai_platform_anchor</t>
        </is>
      </c>
      <c r="I338" t="inlineStr">
        <is>
          <t>Microsoft CoreAI/BIC Platform Anchor</t>
        </is>
      </c>
      <c r="J338"/>
      <c r="K338"/>
      <c r="L338"/>
      <c r="M338"/>
      <c r="N338"/>
      <c r="O338"/>
      <c r="P338"/>
      <c r="Q338"/>
      <c r="R338">
        <f>HYPERLINK("https://apply.careers.microsoft.com/careers/job/1970393556753739?utm_source=linkedin&amp;domain=microsoft.com&amp;src=LinkedIn","https://apply.careers.microsoft.com/careers/job/1970393556753739?utm_source=linkedin&amp;domain=microsoft.com&amp;src=LinkedIn")</f>
      </c>
    </row>
    <row r="339">
      <c r="A339" t="inlineStr">
        <is>
          <t>FM</t>
        </is>
      </c>
      <c r="B339" t="inlineStr">
        <is>
          <t>2026-04-04 09:21:03</t>
        </is>
      </c>
      <c r="C339" t="inlineStr">
        <is>
          <t>69b45cd13b74eb1e2c819632</t>
        </is>
      </c>
      <c r="D339" t="inlineStr">
        <is>
          <t>AI Software Engineering Co-Op</t>
        </is>
      </c>
      <c r="E339" t="inlineStr">
        <is>
          <t>1_Discovered</t>
        </is>
      </c>
      <c r="F339" t="inlineStr">
        <is>
          <t>fanout_batch</t>
        </is>
      </c>
      <c r="G339" t="inlineStr">
        <is>
          <t>retarget</t>
        </is>
      </c>
      <c r="H339" t="inlineStr">
        <is>
          <t>seed_generalist_dotnet_enterprise</t>
        </is>
      </c>
      <c r="I339" t="inlineStr">
        <is>
          <t>Generalist DotNet Enterprise</t>
        </is>
      </c>
      <c r="J339"/>
      <c r="K339"/>
      <c r="L339"/>
      <c r="M339"/>
      <c r="N339">
        <v>93.9</v>
      </c>
      <c r="O339" t="inlineStr">
        <is>
          <t>pass</t>
        </is>
      </c>
      <c r="P339">
        <f>HYPERLINK("file:///Users/jingyizhang/Documents/Playground/projects/local_job_resume_pipeline/data/deliverables/resume_portfolio/by_company/fm/2026-04-04/69b45cd13b74eb1e2c819632/resume.md","/Users/jingyizhang/Documents/Playground/projects/local_job_resume_pipeline/data/deliverables/resume_portfolio/by_company/fm/2026-04-04/69b45cd13b74eb1e2c819632/resume.md")</f>
      </c>
      <c r="Q339"/>
      <c r="R339">
        <f>HYPERLINK("https://click.appcast.io/t/Cg2FQ_J8bCyu6yNUdnZhW06lpXgaEuw6-Mim2XtSiAx1s60fpQEkxjYUcCyVGrgu","https://click.appcast.io/t/Cg2FQ_J8bCyu6yNUdnZhW06lpXgaEuw6-Mim2XtSiAx1s60fpQEkxjYUcCyVGrgu")</f>
      </c>
    </row>
    <row r="340">
      <c r="A340" t="inlineStr">
        <is>
          <t>Notion</t>
        </is>
      </c>
      <c r="B340" t="inlineStr">
        <is>
          <t>2026-04-04 09:20:22</t>
        </is>
      </c>
      <c r="C340" t="inlineStr">
        <is>
          <t>6926667a27bf2f41a2c45d86</t>
        </is>
      </c>
      <c r="D340" t="inlineStr">
        <is>
          <t>Data Engineer, Go-To-Market</t>
        </is>
      </c>
      <c r="E340" t="inlineStr">
        <is>
          <t>1_Discovered</t>
        </is>
      </c>
      <c r="F340" t="inlineStr">
        <is>
          <t>fanout_batch</t>
        </is>
      </c>
      <c r="G340" t="inlineStr">
        <is>
          <t>retarget</t>
        </is>
      </c>
      <c r="H340" t="inlineStr">
        <is>
          <t>seed_qualified_health_data_engineer</t>
        </is>
      </c>
      <c r="I340" t="inlineStr">
        <is>
          <t>Qualified Health Data Engineer</t>
        </is>
      </c>
      <c r="J340"/>
      <c r="K340"/>
      <c r="L340"/>
      <c r="M340"/>
      <c r="N340">
        <v>93.8</v>
      </c>
      <c r="O340" t="inlineStr">
        <is>
          <t>pass</t>
        </is>
      </c>
      <c r="P340">
        <f>HYPERLINK("file:///Users/jingyizhang/Documents/Playground/projects/local_job_resume_pipeline/data/deliverables/resume_portfolio/by_company/notion/2026-04-04/6926667a27bf2f41a2c45d86/resume.md","/Users/jingyizhang/Documents/Playground/projects/local_job_resume_pipeline/data/deliverables/resume_portfolio/by_company/notion/2026-04-04/6926667a27bf2f41a2c45d86/resume.md")</f>
      </c>
      <c r="Q340"/>
      <c r="R340">
        <f>HYPERLINK("https://jobs.ashbyhq.com/notion/655b047b-5e58-4b0c-82f0-8c16b2c03318?source=LinkedIn","https://jobs.ashbyhq.com/notion/655b047b-5e58-4b0c-82f0-8c16b2c03318?source=LinkedIn")</f>
      </c>
    </row>
    <row r="341">
      <c r="A341" t="inlineStr">
        <is>
          <t>Verkada</t>
        </is>
      </c>
      <c r="B341" t="inlineStr">
        <is>
          <t>2026-04-04 09:20:06</t>
        </is>
      </c>
      <c r="C341" t="inlineStr">
        <is>
          <t>6899db7e5574fd6bc0c7e25e</t>
        </is>
      </c>
      <c r="D341" t="inlineStr">
        <is>
          <t>Senior Backend Engineer - Streaming</t>
        </is>
      </c>
      <c r="E341" t="inlineStr">
        <is>
          <t>1_Discovered</t>
        </is>
      </c>
      <c r="F341" t="inlineStr">
        <is>
          <t>fanout_batch</t>
        </is>
      </c>
      <c r="G341" t="inlineStr">
        <is>
          <t>reuse</t>
        </is>
      </c>
      <c r="H341" t="inlineStr">
        <is>
          <t>seed_fullstack_dotnet_azure</t>
        </is>
      </c>
      <c r="I341" t="inlineStr">
        <is>
          <t>Fullstack DotNet Azure</t>
        </is>
      </c>
      <c r="J341"/>
      <c r="K341"/>
      <c r="L341"/>
      <c r="M341"/>
      <c r="N341"/>
      <c r="O341"/>
      <c r="P341"/>
      <c r="Q341"/>
      <c r="R341">
        <f>HYPERLINK("https://www.linkedin.com/jobs/view/3765966974","https://www.linkedin.com/jobs/view/3765966974")</f>
      </c>
    </row>
    <row r="342">
      <c r="A342" t="inlineStr">
        <is>
          <t>Edwards Lifesciences</t>
        </is>
      </c>
      <c r="B342" t="inlineStr">
        <is>
          <t>2026-04-04 09:20:03</t>
        </is>
      </c>
      <c r="C342" t="inlineStr">
        <is>
          <t>69a276990da45516f16bc595</t>
        </is>
      </c>
      <c r="D342" t="inlineStr">
        <is>
          <t>Manager, Commercial Data Analytics - AI/ML</t>
        </is>
      </c>
      <c r="E342" t="inlineStr">
        <is>
          <t>1_Discovered</t>
        </is>
      </c>
      <c r="F342" t="inlineStr">
        <is>
          <t>fanout_batch</t>
        </is>
      </c>
      <c r="G342" t="inlineStr">
        <is>
          <t>retarget</t>
        </is>
      </c>
      <c r="H342" t="inlineStr">
        <is>
          <t>seed_bytedance_ml_grad</t>
        </is>
      </c>
      <c r="I342" t="inlineStr">
        <is>
          <t>ByteDance ML Grad</t>
        </is>
      </c>
      <c r="J342"/>
      <c r="K342"/>
      <c r="L342"/>
      <c r="M342"/>
      <c r="N342">
        <v>93.9</v>
      </c>
      <c r="O342" t="inlineStr">
        <is>
          <t>pass</t>
        </is>
      </c>
      <c r="P342">
        <f>HYPERLINK("file:///Users/jingyizhang/Documents/Playground/projects/local_job_resume_pipeline/data/deliverables/resume_portfolio/by_company/edwards-lifesciences/2026-04-04/69a276990da45516f16bc595/resume.md","/Users/jingyizhang/Documents/Playground/projects/local_job_resume_pipeline/data/deliverables/resume_portfolio/by_company/edwards-lifesciences/2026-04-04/69a276990da45516f16bc595/resume.md")</f>
      </c>
      <c r="Q342"/>
      <c r="R342">
        <f>HYPERLINK("https://edwards.wd5.myworkdayjobs.com/en-US/EdwardsCareers/job/USA---California--Irvine/Mgr--Commercial-Data-Analytics---AI-ML_Req-45478?source=LinkedIn","https://edwards.wd5.myworkdayjobs.com/en-US/EdwardsCareers/job/USA---California--Irvine/Mgr--Commercial-Data-Analytics---AI-ML_Req-45478?source=LinkedIn")</f>
      </c>
    </row>
    <row r="343">
      <c r="A343" t="inlineStr">
        <is>
          <t>Verkada</t>
        </is>
      </c>
      <c r="B343" t="inlineStr">
        <is>
          <t>2026-04-04 09:19:25</t>
        </is>
      </c>
      <c r="C343" t="inlineStr">
        <is>
          <t>68d1a92aa54edb3bf3e1486e</t>
        </is>
      </c>
      <c r="D343" t="inlineStr">
        <is>
          <t>Backend Engineer - Access Control</t>
        </is>
      </c>
      <c r="E343" t="inlineStr">
        <is>
          <t>1_Discovered</t>
        </is>
      </c>
      <c r="F343" t="inlineStr">
        <is>
          <t>fanout_batch</t>
        </is>
      </c>
      <c r="G343" t="inlineStr">
        <is>
          <t>reuse</t>
        </is>
      </c>
      <c r="H343" t="inlineStr">
        <is>
          <t>seed_spotify_backend_music</t>
        </is>
      </c>
      <c r="I343" t="inlineStr">
        <is>
          <t>Spotify Backend Music</t>
        </is>
      </c>
      <c r="J343"/>
      <c r="K343"/>
      <c r="L343"/>
      <c r="M343"/>
      <c r="N343"/>
      <c r="O343"/>
      <c r="P343"/>
      <c r="Q343"/>
      <c r="R343">
        <f>HYPERLINK("https://boards.greenhouse.io/embed/job_app?token=4915101007&amp;utm_source=jobright","https://boards.greenhouse.io/embed/job_app?token=4915101007&amp;utm_source=jobright")</f>
      </c>
    </row>
    <row r="344">
      <c r="A344" t="inlineStr">
        <is>
          <t>FreshDirect</t>
        </is>
      </c>
      <c r="B344" t="inlineStr">
        <is>
          <t>2026-04-04 09:13:49</t>
        </is>
      </c>
      <c r="C344" t="inlineStr">
        <is>
          <t>69d11c9d366bb95ba5524838</t>
        </is>
      </c>
      <c r="D344" t="inlineStr">
        <is>
          <t>Mobile React Native Developer</t>
        </is>
      </c>
      <c r="E344" t="inlineStr">
        <is>
          <t>1_Discovered</t>
        </is>
      </c>
      <c r="F344" t="inlineStr">
        <is>
          <t>fanout_batch</t>
        </is>
      </c>
      <c r="G344" t="inlineStr">
        <is>
          <t>reuse</t>
        </is>
      </c>
      <c r="H344" t="inlineStr">
        <is>
          <t>seed_fullstack_dotnet_azure</t>
        </is>
      </c>
      <c r="I344" t="inlineStr">
        <is>
          <t>Fullstack DotNet Azure</t>
        </is>
      </c>
      <c r="J344"/>
      <c r="K344"/>
      <c r="L344"/>
      <c r="M344"/>
      <c r="N344"/>
      <c r="O344"/>
      <c r="P344"/>
      <c r="Q344"/>
      <c r="R344">
        <f>HYPERLINK("https://www.linkedin.com/jobs/view/4367621189","https://www.linkedin.com/jobs/view/4367621189")</f>
      </c>
    </row>
    <row r="345">
      <c r="A345" t="inlineStr">
        <is>
          <t>OpenAI</t>
        </is>
      </c>
      <c r="B345" t="inlineStr">
        <is>
          <t>2026-04-04 08:36:23</t>
        </is>
      </c>
      <c r="C345" t="inlineStr">
        <is>
          <t>6960242d7ebc25398eb61402</t>
        </is>
      </c>
      <c r="D345" t="inlineStr">
        <is>
          <t>Software Engineer, Productivity</t>
        </is>
      </c>
      <c r="E345" t="inlineStr">
        <is>
          <t>1_Discovered</t>
        </is>
      </c>
      <c r="F345" t="inlineStr">
        <is>
          <t>seed_validation</t>
        </is>
      </c>
      <c r="G345" t="inlineStr">
        <is>
          <t>retarget</t>
        </is>
      </c>
      <c r="H345" t="inlineStr">
        <is>
          <t>seed_amazon_conversational_ads_backend</t>
        </is>
      </c>
      <c r="I345" t="inlineStr">
        <is>
          <t>Amazon Conversational Ads Backend</t>
        </is>
      </c>
      <c r="J345" t="inlineStr">
        <is>
          <t>amazon_ai_ads_mainline</t>
        </is>
      </c>
      <c r="K345" t="inlineStr">
        <is>
          <t>mainline</t>
        </is>
      </c>
      <c r="L345"/>
      <c r="M345"/>
      <c r="N345">
        <v>96.9</v>
      </c>
      <c r="O345" t="inlineStr">
        <is>
          <t>pass</t>
        </is>
      </c>
      <c r="P345">
        <f>HYPERLINK("file:///Users/jingyizhang/Documents/Playground/projects/local_job_resume_pipeline/data/deliverables/resume_portfolio/by_company/openai/2026-04-04/6960242d7ebc25398eb61402/resume.md","/Users/jingyizhang/Documents/Playground/projects/local_job_resume_pipeline/data/deliverables/resume_portfolio/by_company/openai/2026-04-04/6960242d7ebc25398eb61402/resume.md")</f>
      </c>
      <c r="Q345"/>
      <c r="R345">
        <f>HYPERLINK("https://jobs.ashbyhq.com/openai/c02b35b2-af37-4740-a702-2ed3b5dc3cf1/application","https://jobs.ashbyhq.com/openai/c02b35b2-af37-4740-a702-2ed3b5dc3cf1/application")</f>
      </c>
    </row>
    <row r="346">
      <c r="A346" t="inlineStr">
        <is>
          <t>BetterUp</t>
        </is>
      </c>
      <c r="B346" t="inlineStr">
        <is>
          <t>2026-04-04 08:36:23</t>
        </is>
      </c>
      <c r="C346" t="inlineStr">
        <is>
          <t>698fb0e20cc8ea15f1da4a50</t>
        </is>
      </c>
      <c r="D346" t="inlineStr">
        <is>
          <t>Senior Machine Learning Engineer, AI Product and Platform</t>
        </is>
      </c>
      <c r="E346" t="inlineStr">
        <is>
          <t>1_Discovered</t>
        </is>
      </c>
      <c r="F346" t="inlineStr">
        <is>
          <t>fanout_batch</t>
        </is>
      </c>
      <c r="G346" t="inlineStr">
        <is>
          <t>retarget</t>
        </is>
      </c>
      <c r="H346" t="inlineStr">
        <is>
          <t>seed_h2o_ai_engineer</t>
        </is>
      </c>
      <c r="I346" t="inlineStr">
        <is>
          <t>H2O AI Engineer</t>
        </is>
      </c>
      <c r="J346"/>
      <c r="K346"/>
      <c r="L346"/>
      <c r="M346"/>
      <c r="N346">
        <v>93.5</v>
      </c>
      <c r="O346" t="inlineStr">
        <is>
          <t>pass</t>
        </is>
      </c>
      <c r="P346">
        <f>HYPERLINK("file:///Users/jingyizhang/Documents/Playground/projects/local_job_resume_pipeline/data/deliverables/resume_portfolio/by_company/betterup/2026-04-04/698fb0e20cc8ea15f1da4a50/resume.md","/Users/jingyizhang/Documents/Playground/projects/local_job_resume_pipeline/data/deliverables/resume_portfolio/by_company/betterup/2026-04-04/698fb0e20cc8ea15f1da4a50/resume.md")</f>
      </c>
      <c r="Q346"/>
      <c r="R346">
        <f>HYPERLINK("https://jobs.ashbyhq.com/betterup/26e04a95-68ed-4cea-a016-bf13af5dab86?utm_source=linkedin_promoted","https://jobs.ashbyhq.com/betterup/26e04a95-68ed-4cea-a016-bf13af5dab86?utm_source=linkedin_promoted")</f>
      </c>
    </row>
    <row r="347">
      <c r="A347" t="inlineStr">
        <is>
          <t>Uber</t>
        </is>
      </c>
      <c r="B347" t="inlineStr">
        <is>
          <t>2026-04-04 08:23:39</t>
        </is>
      </c>
      <c r="C347" t="inlineStr">
        <is>
          <t>69d110db54f00230c6d18455</t>
        </is>
      </c>
      <c r="D347" t="inlineStr">
        <is>
          <t>Machine Learning Engineer II - Marketplace Pricing &amp; Incentives</t>
        </is>
      </c>
      <c r="E347" t="inlineStr">
        <is>
          <t>1_Discovered</t>
        </is>
      </c>
      <c r="F347" t="inlineStr">
        <is>
          <t>fanout_batch</t>
        </is>
      </c>
      <c r="G347" t="inlineStr">
        <is>
          <t>reuse</t>
        </is>
      </c>
      <c r="H347" t="inlineStr">
        <is>
          <t>seed_bytedance_ml_grad</t>
        </is>
      </c>
      <c r="I347" t="inlineStr">
        <is>
          <t>ByteDance ML Grad</t>
        </is>
      </c>
      <c r="J347"/>
      <c r="K347"/>
      <c r="L347"/>
      <c r="M347"/>
      <c r="N347"/>
      <c r="O347"/>
      <c r="P347"/>
      <c r="Q347"/>
      <c r="R347">
        <f>HYPERLINK("https://tnl2.jometer.com/v2/job?jz=5wqzs7b5e346984e82a26ddb356405a5e0de1KMALBBQAAADQ&amp;iis=Job%20Board%20-%20Recruitment%20Marketing&amp;iisn=LinkedIn","https://tnl2.jometer.com/v2/job?jz=5wqzs7b5e346984e82a26ddb356405a5e0de1KMALBBQAAADQ&amp;iis=Job%20Board%20-%20Recruitment%20Marketing&amp;iisn=LinkedIn")</f>
      </c>
    </row>
    <row r="348">
      <c r="A348" t="inlineStr">
        <is>
          <t>Western Governors University</t>
        </is>
      </c>
      <c r="B348" t="inlineStr">
        <is>
          <t>2026-04-04 08:21:56</t>
        </is>
      </c>
      <c r="C348" t="inlineStr">
        <is>
          <t>69d1107454f00230c6d183df</t>
        </is>
      </c>
      <c r="D348" t="inlineStr">
        <is>
          <t>Senior Data Analyst - Equity Research</t>
        </is>
      </c>
      <c r="E348" t="inlineStr">
        <is>
          <t>1_Discovered</t>
        </is>
      </c>
      <c r="F348" t="inlineStr">
        <is>
          <t>fanout_batch</t>
        </is>
      </c>
      <c r="G348" t="inlineStr">
        <is>
          <t>retarget</t>
        </is>
      </c>
      <c r="H348" t="inlineStr">
        <is>
          <t>seed_h2o_ai_engineer</t>
        </is>
      </c>
      <c r="I348" t="inlineStr">
        <is>
          <t>H2O AI Engineer</t>
        </is>
      </c>
      <c r="J348"/>
      <c r="K348"/>
      <c r="L348"/>
      <c r="M348"/>
      <c r="N348">
        <v>93.9</v>
      </c>
      <c r="O348" t="inlineStr">
        <is>
          <t>pass</t>
        </is>
      </c>
      <c r="P348">
        <f>HYPERLINK("file:///Users/jingyizhang/Documents/Playground/projects/local_job_resume_pipeline/data/deliverables/resume_portfolio/by_company/western-governors-university/2026-04-04/69d1107454f00230c6d183df/resume.md","/Users/jingyizhang/Documents/Playground/projects/local_job_resume_pipeline/data/deliverables/resume_portfolio/by_company/western-governors-university/2026-04-04/69d1107454f00230c6d183df/resume.md")</f>
      </c>
      <c r="Q348"/>
      <c r="R348">
        <f>HYPERLINK("https://wgu.wd5.myworkdayjobs.com/External/job/Salt-Lake-City-UT/Senior-Data-Analyst---Equity-Research_JR-022308?source=LinkedIn_corporate_page","https://wgu.wd5.myworkdayjobs.com/External/job/Salt-Lake-City-UT/Senior-Data-Analyst---Equity-Research_JR-022308?source=LinkedIn_corporate_page")</f>
      </c>
    </row>
    <row r="349">
      <c r="A349" t="inlineStr">
        <is>
          <t>Credit One Bank</t>
        </is>
      </c>
      <c r="B349" t="inlineStr">
        <is>
          <t>2026-04-04 08:21:55</t>
        </is>
      </c>
      <c r="C349" t="inlineStr">
        <is>
          <t>69b4cafe06c1ba00c5464869</t>
        </is>
      </c>
      <c r="D349" t="inlineStr">
        <is>
          <t>Operations Data Analyst</t>
        </is>
      </c>
      <c r="E349" t="inlineStr">
        <is>
          <t>1_Discovered</t>
        </is>
      </c>
      <c r="F349" t="inlineStr">
        <is>
          <t>fanout_batch</t>
        </is>
      </c>
      <c r="G349" t="inlineStr">
        <is>
          <t>reuse</t>
        </is>
      </c>
      <c r="H349" t="inlineStr">
        <is>
          <t>seed_plaid_data_scientist</t>
        </is>
      </c>
      <c r="I349" t="inlineStr">
        <is>
          <t>Plaid Data Scientist</t>
        </is>
      </c>
      <c r="J349"/>
      <c r="K349"/>
      <c r="L349"/>
      <c r="M349"/>
      <c r="N349"/>
      <c r="O349"/>
      <c r="P349"/>
      <c r="Q349"/>
      <c r="R349">
        <f>HYPERLINK("https://careers.creditonebank.com/jobs/17480860-operations-data-analyst?__jvst=Job+Board&amp;__jvsd=LinkedIn","https://careers.creditonebank.com/jobs/17480860-operations-data-analyst?__jvst=Job+Board&amp;__jvsd=LinkedIn")</f>
      </c>
    </row>
    <row r="350">
      <c r="A350" t="inlineStr">
        <is>
          <t>Waymo</t>
        </is>
      </c>
      <c r="B350" t="inlineStr">
        <is>
          <t>2026-04-04 08:21:52</t>
        </is>
      </c>
      <c r="C350" t="inlineStr">
        <is>
          <t>6998f2d681476f6176b15d0b</t>
        </is>
      </c>
      <c r="D350" t="inlineStr">
        <is>
          <t>Machine Learning Engineer, ADV Systems</t>
        </is>
      </c>
      <c r="E350" t="inlineStr">
        <is>
          <t>1_Discovered</t>
        </is>
      </c>
      <c r="F350" t="inlineStr">
        <is>
          <t>fanout_batch</t>
        </is>
      </c>
      <c r="G350" t="inlineStr">
        <is>
          <t>retarget</t>
        </is>
      </c>
      <c r="H350" t="inlineStr">
        <is>
          <t>seed_amazon_agi_ml_anchor</t>
        </is>
      </c>
      <c r="I350" t="inlineStr">
        <is>
          <t>Amazon AGI/LLM Anchor</t>
        </is>
      </c>
      <c r="J350" t="inlineStr">
        <is>
          <t>amazon_ai_ads_mainline</t>
        </is>
      </c>
      <c r="K350" t="inlineStr">
        <is>
          <t>mainline</t>
        </is>
      </c>
      <c r="L350"/>
      <c r="M350"/>
      <c r="N350">
        <v>68.6</v>
      </c>
      <c r="O350" t="inlineStr">
        <is>
          <t>fail</t>
        </is>
      </c>
      <c r="P350">
        <f>HYPERLINK("file:///Users/jingyizhang/Documents/Playground/projects/local_job_resume_pipeline/data/deliverables/resume_portfolio/by_company/waymo/2026-04-04/6998f2d681476f6176b15d0b/resume.md","/Users/jingyizhang/Documents/Playground/projects/local_job_resume_pipeline/data/deliverables/resume_portfolio/by_company/waymo/2026-04-04/6998f2d681476f6176b15d0b/resume.md")</f>
      </c>
      <c r="Q350"/>
      <c r="R350">
        <f>HYPERLINK("https://boards.greenhouse.io/embed/job_app?token=7446320&amp;utm_source=jobright","https://boards.greenhouse.io/embed/job_app?token=7446320&amp;utm_source=jobright")</f>
      </c>
    </row>
    <row r="351">
      <c r="A351" t="inlineStr">
        <is>
          <t>Skild AI</t>
        </is>
      </c>
      <c r="B351" t="inlineStr">
        <is>
          <t>2026-04-04 08:21:45</t>
        </is>
      </c>
      <c r="C351" t="inlineStr">
        <is>
          <t>6880c91816ea5743a37330c1</t>
        </is>
      </c>
      <c r="D351" t="inlineStr">
        <is>
          <t>Deep Learning Manipulation Engineer</t>
        </is>
      </c>
      <c r="E351" t="inlineStr">
        <is>
          <t>1_Discovered</t>
        </is>
      </c>
      <c r="F351" t="inlineStr">
        <is>
          <t>seed_validation</t>
        </is>
      </c>
      <c r="G351" t="inlineStr">
        <is>
          <t>reuse</t>
        </is>
      </c>
      <c r="H351" t="inlineStr">
        <is>
          <t>seed_zillow_agentic_mle</t>
        </is>
      </c>
      <c r="I351" t="inlineStr">
        <is>
          <t>Zillow Agentic MLE</t>
        </is>
      </c>
      <c r="J351"/>
      <c r="K351"/>
      <c r="L351"/>
      <c r="M351"/>
      <c r="N351"/>
      <c r="O351"/>
      <c r="P351"/>
      <c r="Q351"/>
      <c r="R351">
        <f>HYPERLINK("https://www.linkedin.com/jobs/view/4120218576","https://www.linkedin.com/jobs/view/4120218576")</f>
      </c>
    </row>
    <row r="352">
      <c r="A352" t="inlineStr">
        <is>
          <t>Plaid</t>
        </is>
      </c>
      <c r="B352" t="inlineStr">
        <is>
          <t>2026-04-04 08:21:17</t>
        </is>
      </c>
      <c r="C352" t="inlineStr">
        <is>
          <t>697d916aabff4c399a9c61da</t>
        </is>
      </c>
      <c r="D352" t="inlineStr">
        <is>
          <t>Data Scientist - Network Value</t>
        </is>
      </c>
      <c r="E352" t="inlineStr">
        <is>
          <t>1_Discovered</t>
        </is>
      </c>
      <c r="F352" t="inlineStr">
        <is>
          <t>seed_validation</t>
        </is>
      </c>
      <c r="G352" t="inlineStr">
        <is>
          <t>reuse</t>
        </is>
      </c>
      <c r="H352" t="inlineStr">
        <is>
          <t>seed_plaid_data_scientist</t>
        </is>
      </c>
      <c r="I352" t="inlineStr">
        <is>
          <t>Plaid Data Scientist</t>
        </is>
      </c>
      <c r="J352"/>
      <c r="K352"/>
      <c r="L352"/>
      <c r="M352"/>
      <c r="N352"/>
      <c r="O352"/>
      <c r="P352"/>
      <c r="Q352"/>
      <c r="R352">
        <f>HYPERLINK("https://jobs.lever.co/plaid/18503c02-17a0-4c47-98c8-155b0b6ccc2a/apply?lever-origin=applied&amp;lever-source=jobright","https://jobs.lever.co/plaid/18503c02-17a0-4c47-98c8-155b0b6ccc2a/apply?lever-origin=applied&amp;lever-source=jobright")</f>
      </c>
    </row>
    <row r="353">
      <c r="A353" t="inlineStr">
        <is>
          <t>Waymo</t>
        </is>
      </c>
      <c r="B353" t="inlineStr">
        <is>
          <t>2026-04-04 08:18:51</t>
        </is>
      </c>
      <c r="C353" t="inlineStr">
        <is>
          <t>69b47ca73b74eb1e2c81d2c4</t>
        </is>
      </c>
      <c r="D353" t="inlineStr">
        <is>
          <t>Machine Learning Engineer - VLM/LLM Integration</t>
        </is>
      </c>
      <c r="E353" t="inlineStr">
        <is>
          <t>1_Discovered</t>
        </is>
      </c>
      <c r="F353" t="inlineStr">
        <is>
          <t>fanout_batch</t>
        </is>
      </c>
      <c r="G353" t="inlineStr">
        <is>
          <t>retarget</t>
        </is>
      </c>
      <c r="H353" t="inlineStr">
        <is>
          <t>seed_amazon_agi_ml_anchor</t>
        </is>
      </c>
      <c r="I353" t="inlineStr">
        <is>
          <t>Amazon AGI/LLM Anchor</t>
        </is>
      </c>
      <c r="J353" t="inlineStr">
        <is>
          <t>amazon_ai_ads_mainline</t>
        </is>
      </c>
      <c r="K353" t="inlineStr">
        <is>
          <t>mainline</t>
        </is>
      </c>
      <c r="L353"/>
      <c r="M353"/>
      <c r="N353">
        <v>94.7</v>
      </c>
      <c r="O353" t="inlineStr">
        <is>
          <t>pass</t>
        </is>
      </c>
      <c r="P353">
        <f>HYPERLINK("file:///Users/jingyizhang/Documents/Playground/projects/local_job_resume_pipeline/data/deliverables/resume_portfolio/by_company/waymo/2026-04-04/69b47ca73b74eb1e2c81d2c4/resume.md","/Users/jingyizhang/Documents/Playground/projects/local_job_resume_pipeline/data/deliverables/resume_portfolio/by_company/waymo/2026-04-04/69b47ca73b74eb1e2c81d2c4/resume.md")</f>
      </c>
      <c r="Q353"/>
      <c r="R353">
        <f>HYPERLINK("https://boards.greenhouse.io/embed/job_app?token=7707980&amp;utm_source=jobright","https://boards.greenhouse.io/embed/job_app?token=7707980&amp;utm_source=jobright")</f>
      </c>
    </row>
    <row r="354">
      <c r="A354" t="inlineStr">
        <is>
          <t>Baker Tilly US</t>
        </is>
      </c>
      <c r="B354" t="inlineStr">
        <is>
          <t>2026-04-04 08:18:51</t>
        </is>
      </c>
      <c r="C354" t="inlineStr">
        <is>
          <t>69b4714f5697383741394881</t>
        </is>
      </c>
      <c r="D354" t="inlineStr">
        <is>
          <t>Data Analytics Senior Associate</t>
        </is>
      </c>
      <c r="E354" t="inlineStr">
        <is>
          <t>1_Discovered</t>
        </is>
      </c>
      <c r="F354" t="inlineStr">
        <is>
          <t>fanout_batch</t>
        </is>
      </c>
      <c r="G354" t="inlineStr">
        <is>
          <t>retarget</t>
        </is>
      </c>
      <c r="H354" t="inlineStr">
        <is>
          <t>seed_qualified_health_data_engineer</t>
        </is>
      </c>
      <c r="I354" t="inlineStr">
        <is>
          <t>Qualified Health Data Engineer</t>
        </is>
      </c>
      <c r="J354"/>
      <c r="K354"/>
      <c r="L354"/>
      <c r="M354"/>
      <c r="N354">
        <v>93.9</v>
      </c>
      <c r="O354" t="inlineStr">
        <is>
          <t>pass</t>
        </is>
      </c>
      <c r="P354">
        <f>HYPERLINK("file:///Users/jingyizhang/Documents/Playground/projects/local_job_resume_pipeline/data/deliverables/resume_portfolio/by_company/baker-tilly-us/2026-04-04/69b4714f5697383741394881/resume.md","/Users/jingyizhang/Documents/Playground/projects/local_job_resume_pipeline/data/deliverables/resume_portfolio/by_company/baker-tilly-us/2026-04-04/69b4714f5697383741394881/resume.md")</f>
      </c>
      <c r="Q354"/>
      <c r="R354">
        <f>HYPERLINK("https://bakertilly.wd5.myworkdayjobs.com/BTCareers/job/USA-IL-Chicago-205-N-Michigan-Ave/Data-Analytics-Senior-Associate_JR105707?source=LinkedIn","https://bakertilly.wd5.myworkdayjobs.com/BTCareers/job/USA-IL-Chicago-205-N-Michigan-Ave/Data-Analytics-Senior-Associate_JR105707?source=LinkedIn")</f>
      </c>
    </row>
    <row r="355">
      <c r="A355" t="inlineStr">
        <is>
          <t>Remote</t>
        </is>
      </c>
      <c r="B355" t="inlineStr">
        <is>
          <t>2026-04-04 08:14:42</t>
        </is>
      </c>
      <c r="C355" t="inlineStr">
        <is>
          <t>69d10ec2cdb525785fbb06f3</t>
        </is>
      </c>
      <c r="D355" t="inlineStr">
        <is>
          <t>Senior Backend Engineer (Elixir)</t>
        </is>
      </c>
      <c r="E355" t="inlineStr">
        <is>
          <t>1_Discovered</t>
        </is>
      </c>
      <c r="F355" t="inlineStr">
        <is>
          <t>fanout_batch</t>
        </is>
      </c>
      <c r="G355" t="inlineStr">
        <is>
          <t>reuse</t>
        </is>
      </c>
      <c r="H355" t="inlineStr">
        <is>
          <t>seed_cisco_backend_api</t>
        </is>
      </c>
      <c r="I355" t="inlineStr">
        <is>
          <t>Cisco Backend API</t>
        </is>
      </c>
      <c r="J355"/>
      <c r="K355"/>
      <c r="L355"/>
      <c r="M355"/>
      <c r="N355"/>
      <c r="O355"/>
      <c r="P355"/>
      <c r="Q355"/>
      <c r="R355">
        <f>HYPERLINK("https://boards.greenhouse.io/embed/job_app?token=7690135003&amp;utm_source=jobright","https://boards.greenhouse.io/embed/job_app?token=7690135003&amp;utm_source=jobright")</f>
      </c>
    </row>
    <row r="356">
      <c r="A356" t="inlineStr">
        <is>
          <t>Waymo</t>
        </is>
      </c>
      <c r="B356" t="inlineStr">
        <is>
          <t>2026-04-04 08:13:06</t>
        </is>
      </c>
      <c r="C356" t="inlineStr">
        <is>
          <t>69993ed9e0bddb6acac8578f</t>
        </is>
      </c>
      <c r="D356" t="inlineStr">
        <is>
          <t>Machine Learning Engineer, Data &amp; Systems</t>
        </is>
      </c>
      <c r="E356" t="inlineStr">
        <is>
          <t>1_Discovered</t>
        </is>
      </c>
      <c r="F356" t="inlineStr">
        <is>
          <t>fanout_batch</t>
        </is>
      </c>
      <c r="G356" t="inlineStr">
        <is>
          <t>retarget</t>
        </is>
      </c>
      <c r="H356" t="inlineStr">
        <is>
          <t>seed_amazon_agi_ml_anchor</t>
        </is>
      </c>
      <c r="I356" t="inlineStr">
        <is>
          <t>Amazon AGI/LLM Anchor</t>
        </is>
      </c>
      <c r="J356" t="inlineStr">
        <is>
          <t>amazon_ai_ads_mainline</t>
        </is>
      </c>
      <c r="K356" t="inlineStr">
        <is>
          <t>mainline</t>
        </is>
      </c>
      <c r="L356"/>
      <c r="M356"/>
      <c r="N356">
        <v>93.9</v>
      </c>
      <c r="O356" t="inlineStr">
        <is>
          <t>pass</t>
        </is>
      </c>
      <c r="P356">
        <f>HYPERLINK("file:///Users/jingyizhang/Documents/Playground/projects/local_job_resume_pipeline/data/deliverables/resume_portfolio/by_company/waymo/2026-04-04/69993ed9e0bddb6acac8578f/resume.md","/Users/jingyizhang/Documents/Playground/projects/local_job_resume_pipeline/data/deliverables/resume_portfolio/by_company/waymo/2026-04-04/69993ed9e0bddb6acac8578f/resume.md")</f>
      </c>
      <c r="Q356"/>
      <c r="R356">
        <f>HYPERLINK("https://boards.greenhouse.io/embed/job_app?token=7446301&amp;utm_source=jobright","https://boards.greenhouse.io/embed/job_app?token=7446301&amp;utm_source=jobright")</f>
      </c>
    </row>
    <row r="357">
      <c r="A357" t="inlineStr">
        <is>
          <t>Applied Intuition</t>
        </is>
      </c>
      <c r="B357" t="inlineStr">
        <is>
          <t>2026-04-04 08:13:04</t>
        </is>
      </c>
      <c r="C357" t="inlineStr">
        <is>
          <t>689c195979a9f9666253640d</t>
        </is>
      </c>
      <c r="D357" t="inlineStr">
        <is>
          <t>Senior Android Software Engineer - Platform</t>
        </is>
      </c>
      <c r="E357" t="inlineStr">
        <is>
          <t>1_Discovered</t>
        </is>
      </c>
      <c r="F357" t="inlineStr">
        <is>
          <t>fanout_batch</t>
        </is>
      </c>
      <c r="G357" t="inlineStr">
        <is>
          <t>retarget</t>
        </is>
      </c>
      <c r="H357" t="inlineStr">
        <is>
          <t>seed_google_cloud_infra_anchor_candidate</t>
        </is>
      </c>
      <c r="I357" t="inlineStr">
        <is>
          <t>Google Cloud Infra Anchor</t>
        </is>
      </c>
      <c r="J357" t="inlineStr">
        <is>
          <t>google_cloud_infra_mainline</t>
        </is>
      </c>
      <c r="K357" t="inlineStr">
        <is>
          <t>mainline</t>
        </is>
      </c>
      <c r="L357"/>
      <c r="M357"/>
      <c r="N357">
        <v>95.5</v>
      </c>
      <c r="O357" t="inlineStr">
        <is>
          <t>pass</t>
        </is>
      </c>
      <c r="P357">
        <f>HYPERLINK("file:///Users/jingyizhang/Documents/Playground/projects/local_job_resume_pipeline/data/deliverables/resume_portfolio/by_company/applied-intuition/2026-04-04/689c195979a9f9666253640d/resume.md","/Users/jingyizhang/Documents/Playground/projects/local_job_resume_pipeline/data/deliverables/resume_portfolio/by_company/applied-intuition/2026-04-04/689c195979a9f9666253640d/resume.md")</f>
      </c>
      <c r="Q357"/>
      <c r="R357">
        <f>HYPERLINK("https://boards.greenhouse.io/embed/job_app?token=4582601005&amp;utm_source=jobright","https://boards.greenhouse.io/embed/job_app?token=4582601005&amp;utm_source=jobright")</f>
      </c>
    </row>
    <row r="358">
      <c r="A358" t="inlineStr">
        <is>
          <t>Applied Intuition</t>
        </is>
      </c>
      <c r="B358" t="inlineStr">
        <is>
          <t>2026-04-04 08:12:30</t>
        </is>
      </c>
      <c r="C358" t="inlineStr">
        <is>
          <t>68ccd7955954791a1d6ff68a</t>
        </is>
      </c>
      <c r="D358" t="inlineStr">
        <is>
          <t>Senior Software Engineer - Data Infrastructure</t>
        </is>
      </c>
      <c r="E358" t="inlineStr">
        <is>
          <t>1_Discovered</t>
        </is>
      </c>
      <c r="F358" t="inlineStr">
        <is>
          <t>fanout_batch</t>
        </is>
      </c>
      <c r="G358" t="inlineStr">
        <is>
          <t>reuse</t>
        </is>
      </c>
      <c r="H358" t="inlineStr">
        <is>
          <t>seed_qualified_health_data_engineer</t>
        </is>
      </c>
      <c r="I358" t="inlineStr">
        <is>
          <t>Qualified Health Data Engineer</t>
        </is>
      </c>
      <c r="J358"/>
      <c r="K358"/>
      <c r="L358"/>
      <c r="M358"/>
      <c r="N358"/>
      <c r="O358"/>
      <c r="P358"/>
      <c r="Q358"/>
      <c r="R358">
        <f>HYPERLINK("https://boards.greenhouse.io/embed/job_app?token=4045138005&amp;utm_source=jobright","https://boards.greenhouse.io/embed/job_app?token=4045138005&amp;utm_source=jobright")</f>
      </c>
    </row>
    <row r="359">
      <c r="A359" t="inlineStr">
        <is>
          <t>Intuit</t>
        </is>
      </c>
      <c r="B359" t="inlineStr">
        <is>
          <t>2026-04-04 08:12:17</t>
        </is>
      </c>
      <c r="C359" t="inlineStr">
        <is>
          <t>69d1214ecdb525785fbb098a</t>
        </is>
      </c>
      <c r="D359" t="inlineStr">
        <is>
          <t>Software Engineer 2, AI Builder</t>
        </is>
      </c>
      <c r="E359" t="inlineStr">
        <is>
          <t>1_Discovered</t>
        </is>
      </c>
      <c r="F359" t="inlineStr">
        <is>
          <t>fanout_batch</t>
        </is>
      </c>
      <c r="G359" t="inlineStr">
        <is>
          <t>retarget</t>
        </is>
      </c>
      <c r="H359" t="inlineStr">
        <is>
          <t>seed_microsoft_polyglot_generalist</t>
        </is>
      </c>
      <c r="I359" t="inlineStr">
        <is>
          <t>Microsoft Polyglot Generalist</t>
        </is>
      </c>
      <c r="J359"/>
      <c r="K359"/>
      <c r="L359"/>
      <c r="M359"/>
      <c r="N359">
        <v>97.0</v>
      </c>
      <c r="O359" t="inlineStr">
        <is>
          <t>pass</t>
        </is>
      </c>
      <c r="P359">
        <f>HYPERLINK("file:///Users/jingyizhang/Documents/Playground/projects/local_job_resume_pipeline/data/deliverables/resume_portfolio/by_company/intuit/2026-04-04/69d1214ecdb525785fbb098a/resume.md","/Users/jingyizhang/Documents/Playground/projects/local_job_resume_pipeline/data/deliverables/resume_portfolio/by_company/intuit/2026-04-04/69d1214ecdb525785fbb098a/resume.md")</f>
      </c>
      <c r="Q359"/>
      <c r="R359">
        <f>HYPERLINK("https://jobs.intuit.com/job/-/-/27595/93544896192?cid=job_id_click_us_swe-dataeng-fy26_cn_text_job_int-tm&amp;iis=job&amp;iisn=id&amp;p_sid=PMRWLob&amp;p_uid=UhrNmKLS9Q&amp;ss=paid&amp;utm_campaign=&amp;utm_content=pj_board&amp;utm_medium=jobad&amp;utm_source=indeed+organic","https://jobs.intuit.com/job/-/-/27595/93544896192?cid=job_id_click_us_swe-dataeng-fy26_cn_text_job_int-tm&amp;iis=job&amp;iisn=id&amp;p_sid=PMRWLob&amp;p_uid=UhrNmKLS9Q&amp;ss=paid&amp;utm_campaign=&amp;utm_content=pj_board&amp;utm_medium=jobad&amp;utm_source=indeed+organic")</f>
      </c>
    </row>
    <row r="360">
      <c r="A360" t="inlineStr">
        <is>
          <t>ECS</t>
        </is>
      </c>
      <c r="B360" t="inlineStr">
        <is>
          <t>2026-04-04 08:09:55</t>
        </is>
      </c>
      <c r="C360" t="inlineStr">
        <is>
          <t>69b636bb3b74eb1e2c83eaad</t>
        </is>
      </c>
      <c r="D360" t="inlineStr">
        <is>
          <t>Full Stack Software Developer</t>
        </is>
      </c>
      <c r="E360" t="inlineStr">
        <is>
          <t>1_Discovered</t>
        </is>
      </c>
      <c r="F360" t="inlineStr">
        <is>
          <t>fanout_batch</t>
        </is>
      </c>
      <c r="G360" t="inlineStr">
        <is>
          <t>reuse</t>
        </is>
      </c>
      <c r="H360" t="inlineStr">
        <is>
          <t>seed_paypal_java_backend</t>
        </is>
      </c>
      <c r="I360" t="inlineStr">
        <is>
          <t>PayPal Java Backend</t>
        </is>
      </c>
      <c r="J360"/>
      <c r="K360"/>
      <c r="L360"/>
      <c r="M360"/>
      <c r="N360"/>
      <c r="O360"/>
      <c r="P360"/>
      <c r="Q360"/>
      <c r="R360">
        <f>HYPERLINK("https://myjobs.adp.com/ecsfederal/cx/job-details?reqId=5001184468306&amp;rb=LINKEDIN","https://myjobs.adp.com/ecsfederal/cx/job-details?reqId=5001184468306&amp;rb=LINKEDIN")</f>
      </c>
    </row>
    <row r="361">
      <c r="A361" t="inlineStr">
        <is>
          <t>Applied Intuition</t>
        </is>
      </c>
      <c r="B361" t="inlineStr">
        <is>
          <t>2026-04-04 08:09:35</t>
        </is>
      </c>
      <c r="C361" t="inlineStr">
        <is>
          <t>67ee3a40d1d82e0181df716b</t>
        </is>
      </c>
      <c r="D361" t="inlineStr">
        <is>
          <t>Senior Software Engineer</t>
        </is>
      </c>
      <c r="E361" t="inlineStr">
        <is>
          <t>1_Discovered</t>
        </is>
      </c>
      <c r="F361" t="inlineStr">
        <is>
          <t>seed_validation</t>
        </is>
      </c>
      <c r="G361" t="inlineStr">
        <is>
          <t>retarget</t>
        </is>
      </c>
      <c r="H361" t="inlineStr">
        <is>
          <t>seed_fullstack_dotnet_azure</t>
        </is>
      </c>
      <c r="I361" t="inlineStr">
        <is>
          <t>Fullstack DotNet Azure</t>
        </is>
      </c>
      <c r="J361"/>
      <c r="K361"/>
      <c r="L361"/>
      <c r="M361"/>
      <c r="N361">
        <v>93.6</v>
      </c>
      <c r="O361" t="inlineStr">
        <is>
          <t>pass</t>
        </is>
      </c>
      <c r="P361">
        <f>HYPERLINK("file:///Users/jingyizhang/Documents/Playground/projects/local_job_resume_pipeline/data/deliverables/resume_portfolio/by_company/applied-intuition/2026-04-04/67ee3a40d1d82e0181df716b/resume.md","/Users/jingyizhang/Documents/Playground/projects/local_job_resume_pipeline/data/deliverables/resume_portfolio/by_company/applied-intuition/2026-04-04/67ee3a40d1d82e0181df716b/resume.md")</f>
      </c>
      <c r="Q361"/>
      <c r="R361">
        <f>HYPERLINK("https://boards.greenhouse.io/embed/job_app?token=4045071005&amp;utm_source=jobright","https://boards.greenhouse.io/embed/job_app?token=4045071005&amp;utm_source=jobright")</f>
      </c>
    </row>
    <row r="362">
      <c r="A362" t="inlineStr">
        <is>
          <t>Microsoft</t>
        </is>
      </c>
      <c r="B362" t="inlineStr">
        <is>
          <t>2026-04-04 07:59:26</t>
        </is>
      </c>
      <c r="C362" t="inlineStr">
        <is>
          <t>69d10b2e891d7b11cfce1849</t>
        </is>
      </c>
      <c r="D362" t="inlineStr">
        <is>
          <t>Senior Software Engineer</t>
        </is>
      </c>
      <c r="E362" t="inlineStr">
        <is>
          <t>1_Discovered</t>
        </is>
      </c>
      <c r="F362" t="inlineStr">
        <is>
          <t>retarget_trial</t>
        </is>
      </c>
      <c r="G362" t="inlineStr">
        <is>
          <t>retarget</t>
        </is>
      </c>
      <c r="H362" t="inlineStr">
        <is>
          <t>candidate_microsoft_polyglot_generalist</t>
        </is>
      </c>
      <c r="I362" t="inlineStr">
        <is>
          <t>Microsoft Polyglot Generalist</t>
        </is>
      </c>
      <c r="J362"/>
      <c r="K362"/>
      <c r="L362"/>
      <c r="M362"/>
      <c r="N362">
        <v>94.9</v>
      </c>
      <c r="O362" t="inlineStr">
        <is>
          <t>pass</t>
        </is>
      </c>
      <c r="P362">
        <f>HYPERLINK("file:///Users/jingyizhang/Documents/Playground/projects/local_job_resume_pipeline/data/deliverables/resume_portfolio/by_company/microsoft/2026-04-04/69d10b2e891d7b11cfce1849/resume.md","/Users/jingyizhang/Documents/Playground/projects/local_job_resume_pipeline/data/deliverables/resume_portfolio/by_company/microsoft/2026-04-04/69d10b2e891d7b11cfce1849/resume.md")</f>
      </c>
      <c r="Q362"/>
      <c r="R362">
        <f>HYPERLINK("https://apply.careers.microsoft.com/careers/job/1970393556855362?utm_source=linkedin&amp;domain=microsoft.com&amp;src=LinkedIn","https://apply.careers.microsoft.com/careers/job/1970393556855362?utm_source=linkedin&amp;domain=microsoft.com&amp;src=LinkedIn")</f>
      </c>
    </row>
    <row r="363">
      <c r="A363" t="inlineStr">
        <is>
          <t>Microsoft</t>
        </is>
      </c>
      <c r="B363" t="inlineStr">
        <is>
          <t>2026-04-04 07:58:40</t>
        </is>
      </c>
      <c r="C363" t="inlineStr">
        <is>
          <t>69d10b00cdb525785fbb0642</t>
        </is>
      </c>
      <c r="D363" t="inlineStr">
        <is>
          <t>Software Engineer</t>
        </is>
      </c>
      <c r="E363" t="inlineStr">
        <is>
          <t>1_Discovered</t>
        </is>
      </c>
      <c r="F363" t="inlineStr">
        <is>
          <t>fanout_batch</t>
        </is>
      </c>
      <c r="G363" t="inlineStr">
        <is>
          <t>reuse</t>
        </is>
      </c>
      <c r="H363" t="inlineStr">
        <is>
          <t>seed_microsoft_coreai_platform_anchor</t>
        </is>
      </c>
      <c r="I363" t="inlineStr">
        <is>
          <t>Microsoft CoreAI/BIC Platform Anchor</t>
        </is>
      </c>
      <c r="J363"/>
      <c r="K363"/>
      <c r="L363"/>
      <c r="M363"/>
      <c r="N363"/>
      <c r="O363"/>
      <c r="P363"/>
      <c r="Q363"/>
      <c r="R363">
        <f>HYPERLINK("https://apply.careers.microsoft.com/careers/job/1970393556621210?utm_source=linkedin&amp;domain=microsoft.com&amp;src=LinkedIn","https://apply.careers.microsoft.com/careers/job/1970393556621210?utm_source=linkedin&amp;domain=microsoft.com&amp;src=LinkedIn")</f>
      </c>
    </row>
    <row r="364">
      <c r="A364" t="inlineStr">
        <is>
          <t>Microsoft</t>
        </is>
      </c>
      <c r="B364" t="inlineStr">
        <is>
          <t>2026-04-04 07:58:39</t>
        </is>
      </c>
      <c r="C364" t="inlineStr">
        <is>
          <t>69d10affcdb525785fbb063e</t>
        </is>
      </c>
      <c r="D364" t="inlineStr">
        <is>
          <t>Software Engineer II</t>
        </is>
      </c>
      <c r="E364" t="inlineStr">
        <is>
          <t>1_Discovered</t>
        </is>
      </c>
      <c r="F364" t="inlineStr">
        <is>
          <t>fanout_batch</t>
        </is>
      </c>
      <c r="G364" t="inlineStr">
        <is>
          <t>reuse</t>
        </is>
      </c>
      <c r="H364" t="inlineStr">
        <is>
          <t>seed_microsoft_coreai_platform_anchor</t>
        </is>
      </c>
      <c r="I364" t="inlineStr">
        <is>
          <t>Microsoft CoreAI/BIC Platform Anchor</t>
        </is>
      </c>
      <c r="J364"/>
      <c r="K364"/>
      <c r="L364"/>
      <c r="M364"/>
      <c r="N364"/>
      <c r="O364"/>
      <c r="P364"/>
      <c r="Q364"/>
      <c r="R364">
        <f>HYPERLINK("https://apply.careers.microsoft.com/careers/job/1970393556834430?utm_source=linkedin&amp;domain=microsoft.com&amp;src=LinkedIn","https://apply.careers.microsoft.com/careers/job/1970393556834430?utm_source=linkedin&amp;domain=microsoft.com&amp;src=LinkedIn")</f>
      </c>
    </row>
    <row r="365">
      <c r="A365" t="inlineStr">
        <is>
          <t>Microsoft</t>
        </is>
      </c>
      <c r="B365" t="inlineStr">
        <is>
          <t>2026-04-04 07:58:39</t>
        </is>
      </c>
      <c r="C365" t="inlineStr">
        <is>
          <t>69d10affcdb525785fbb063b</t>
        </is>
      </c>
      <c r="D365" t="inlineStr">
        <is>
          <t>Software Engineer II</t>
        </is>
      </c>
      <c r="E365" t="inlineStr">
        <is>
          <t>1_Discovered</t>
        </is>
      </c>
      <c r="F365" t="inlineStr">
        <is>
          <t>fanout_batch</t>
        </is>
      </c>
      <c r="G365" t="inlineStr">
        <is>
          <t>retarget</t>
        </is>
      </c>
      <c r="H365" t="inlineStr">
        <is>
          <t>seed_microsoft_coreai_platform_anchor</t>
        </is>
      </c>
      <c r="I365" t="inlineStr">
        <is>
          <t>Microsoft CoreAI/BIC Platform Anchor</t>
        </is>
      </c>
      <c r="J365"/>
      <c r="K365"/>
      <c r="L365"/>
      <c r="M365"/>
      <c r="N365">
        <v>79.2</v>
      </c>
      <c r="O365" t="inlineStr">
        <is>
          <t>fail</t>
        </is>
      </c>
      <c r="P365">
        <f>HYPERLINK("file:///Users/jingyizhang/Documents/Playground/projects/local_job_resume_pipeline/data/deliverables/resume_portfolio/by_company/microsoft/2026-04-04/69d10affcdb525785fbb063b/resume.md","/Users/jingyizhang/Documents/Playground/projects/local_job_resume_pipeline/data/deliverables/resume_portfolio/by_company/microsoft/2026-04-04/69d10affcdb525785fbb063b/resume.md")</f>
      </c>
      <c r="Q365"/>
      <c r="R365">
        <f>HYPERLINK("https://apply.careers.microsoft.com/careers/job/1970393556824194?utm_source=linkedin&amp;domain=microsoft.com&amp;src=LinkedIn","https://apply.careers.microsoft.com/careers/job/1970393556824194?utm_source=linkedin&amp;domain=microsoft.com&amp;src=LinkedIn")</f>
      </c>
    </row>
    <row r="366">
      <c r="A366" t="inlineStr">
        <is>
          <t>CommonSpirit Health</t>
        </is>
      </c>
      <c r="B366" t="inlineStr">
        <is>
          <t>2026-04-04 07:57:23</t>
        </is>
      </c>
      <c r="C366" t="inlineStr">
        <is>
          <t>69b469245697383741392bc3</t>
        </is>
      </c>
      <c r="D366" t="inlineStr">
        <is>
          <t>IT Software Engineer</t>
        </is>
      </c>
      <c r="E366" t="inlineStr">
        <is>
          <t>1_Discovered</t>
        </is>
      </c>
      <c r="F366" t="inlineStr">
        <is>
          <t>fanout_batch</t>
        </is>
      </c>
      <c r="G366" t="inlineStr">
        <is>
          <t>reuse</t>
        </is>
      </c>
      <c r="H366" t="inlineStr">
        <is>
          <t>seed_paypal_java_backend</t>
        </is>
      </c>
      <c r="I366" t="inlineStr">
        <is>
          <t>PayPal Java Backend</t>
        </is>
      </c>
      <c r="J366"/>
      <c r="K366"/>
      <c r="L366"/>
      <c r="M366"/>
      <c r="N366"/>
      <c r="O366"/>
      <c r="P366"/>
      <c r="Q366"/>
      <c r="R366">
        <f>HYPERLINK("https://www.commonspirit.careers/job/-/-/35300/92692647760?iis=jobright&amp;iisn=jobright&amp;mode=job&amp;rx_campaign=Linkedin1&amp;rx_ch=connector&amp;rx_group=117215&amp;rx_id=de32b6aa-1ee7-11f1-b29e-d1fdcf10689d&amp;rx_job=2026-459757&amp;rx_medium=post&amp;rx_r=none&amp;rx_source=Linkedin&amp;rx_ts=20260404T061245Z&amp;rx_vp=slots","https://www.commonspirit.careers/job/-/-/35300/92692647760?iis=jobright&amp;iisn=jobright&amp;mode=job&amp;rx_campaign=Linkedin1&amp;rx_ch=connector&amp;rx_group=117215&amp;rx_id=de32b6aa-1ee7-11f1-b29e-d1fdcf10689d&amp;rx_job=2026-459757&amp;rx_medium=post&amp;rx_r=none&amp;rx_source=Linkedin&amp;rx_ts=20260404T061245Z&amp;rx_vp=slots")</f>
      </c>
    </row>
    <row r="367">
      <c r="A367" t="inlineStr">
        <is>
          <t>Cognition</t>
        </is>
      </c>
      <c r="B367" t="inlineStr">
        <is>
          <t>2026-04-04 07:56:50</t>
        </is>
      </c>
      <c r="C367" t="inlineStr">
        <is>
          <t>692baeac4c474121999ce0a1</t>
        </is>
      </c>
      <c r="D367" t="inlineStr">
        <is>
          <t>AI Enablement Engineer</t>
        </is>
      </c>
      <c r="E367" t="inlineStr">
        <is>
          <t>1_Discovered</t>
        </is>
      </c>
      <c r="F367" t="inlineStr">
        <is>
          <t>fanout_batch</t>
        </is>
      </c>
      <c r="G367" t="inlineStr">
        <is>
          <t>retarget</t>
        </is>
      </c>
      <c r="H367" t="inlineStr">
        <is>
          <t>seed_microsoft_polyglot_generalist</t>
        </is>
      </c>
      <c r="I367" t="inlineStr">
        <is>
          <t>Microsoft Polyglot Generalist</t>
        </is>
      </c>
      <c r="J367"/>
      <c r="K367"/>
      <c r="L367"/>
      <c r="M367"/>
      <c r="N367">
        <v>94.0</v>
      </c>
      <c r="O367" t="inlineStr">
        <is>
          <t>pass</t>
        </is>
      </c>
      <c r="P367">
        <f>HYPERLINK("file:///Users/jingyizhang/Documents/Playground/projects/local_job_resume_pipeline/data/deliverables/resume_portfolio/by_company/cognition/2026-04-04/692baeac4c474121999ce0a1/resume.md","/Users/jingyizhang/Documents/Playground/projects/local_job_resume_pipeline/data/deliverables/resume_portfolio/by_company/cognition/2026-04-04/692baeac4c474121999ce0a1/resume.md")</f>
      </c>
      <c r="Q367"/>
      <c r="R367">
        <f>HYPERLINK("https://jobs.ashbyhq.com/cognition/811c3f5a-b26d-4162-b49b-93890a91794d?src=LinkedIn","https://jobs.ashbyhq.com/cognition/811c3f5a-b26d-4162-b49b-93890a91794d?src=LinkedIn")</f>
      </c>
    </row>
    <row r="368">
      <c r="A368" t="inlineStr">
        <is>
          <t>Applied Intuition</t>
        </is>
      </c>
      <c r="B368" t="inlineStr">
        <is>
          <t>2026-04-04 07:56:45</t>
        </is>
      </c>
      <c r="C368" t="inlineStr">
        <is>
          <t>68cd5f0ce23def7af55b9117</t>
        </is>
      </c>
      <c r="D368" t="inlineStr">
        <is>
          <t>Software Engineer - Cloud Infrastructure</t>
        </is>
      </c>
      <c r="E368" t="inlineStr">
        <is>
          <t>1_Discovered</t>
        </is>
      </c>
      <c r="F368" t="inlineStr">
        <is>
          <t>fanout_batch</t>
        </is>
      </c>
      <c r="G368" t="inlineStr">
        <is>
          <t>retarget</t>
        </is>
      </c>
      <c r="H368" t="inlineStr">
        <is>
          <t>seed_fireblocks_sre_anchor</t>
        </is>
      </c>
      <c r="I368" t="inlineStr">
        <is>
          <t>Fireblocks SRE Anchor</t>
        </is>
      </c>
      <c r="J368"/>
      <c r="K368"/>
      <c r="L368"/>
      <c r="M368"/>
      <c r="N368">
        <v>93.7</v>
      </c>
      <c r="O368" t="inlineStr">
        <is>
          <t>pass</t>
        </is>
      </c>
      <c r="P368">
        <f>HYPERLINK("file:///Users/jingyizhang/Documents/Playground/projects/local_job_resume_pipeline/data/deliverables/resume_portfolio/by_company/applied-intuition/2026-04-04/68cd5f0ce23def7af55b9117/resume.md","/Users/jingyizhang/Documents/Playground/projects/local_job_resume_pipeline/data/deliverables/resume_portfolio/by_company/applied-intuition/2026-04-04/68cd5f0ce23def7af55b9117/resume.md")</f>
      </c>
      <c r="Q368"/>
      <c r="R368">
        <f>HYPERLINK("https://boards.greenhouse.io/embed/job_app?token=4045252005&amp;utm_source=jobright","https://boards.greenhouse.io/embed/job_app?token=4045252005&amp;utm_source=jobright")</f>
      </c>
    </row>
    <row r="369">
      <c r="A369" t="inlineStr">
        <is>
          <t>Applied Intuition</t>
        </is>
      </c>
      <c r="B369" t="inlineStr">
        <is>
          <t>2026-04-04 07:55:29</t>
        </is>
      </c>
      <c r="C369" t="inlineStr">
        <is>
          <t>686ecde75cc4111d9fe60b8b</t>
        </is>
      </c>
      <c r="D369" t="inlineStr">
        <is>
          <t>Software Engineer - Kafka</t>
        </is>
      </c>
      <c r="E369" t="inlineStr">
        <is>
          <t>1_Discovered</t>
        </is>
      </c>
      <c r="F369" t="inlineStr">
        <is>
          <t>fanout_batch</t>
        </is>
      </c>
      <c r="G369" t="inlineStr">
        <is>
          <t>reuse</t>
        </is>
      </c>
      <c r="H369" t="inlineStr">
        <is>
          <t>seed_qualified_health_data_engineer</t>
        </is>
      </c>
      <c r="I369" t="inlineStr">
        <is>
          <t>Qualified Health Data Engineer</t>
        </is>
      </c>
      <c r="J369"/>
      <c r="K369"/>
      <c r="L369"/>
      <c r="M369"/>
      <c r="N369"/>
      <c r="O369"/>
      <c r="P369"/>
      <c r="Q369"/>
      <c r="R369">
        <f>HYPERLINK("https://boards.greenhouse.io/embed/job_app?token=4584510005&amp;utm_source=jobright","https://boards.greenhouse.io/embed/job_app?token=4584510005&amp;utm_source=jobright")</f>
      </c>
    </row>
    <row r="370">
      <c r="A370" t="inlineStr">
        <is>
          <t>Applied Intuition</t>
        </is>
      </c>
      <c r="B370" t="inlineStr">
        <is>
          <t>2026-04-04 07:55:29</t>
        </is>
      </c>
      <c r="C370" t="inlineStr">
        <is>
          <t>67f155bcefb8bc125ceaa4ab</t>
        </is>
      </c>
      <c r="D370" t="inlineStr">
        <is>
          <t>Senior Software Engineer - ML Infrastructure</t>
        </is>
      </c>
      <c r="E370" t="inlineStr">
        <is>
          <t>1_Discovered</t>
        </is>
      </c>
      <c r="F370" t="inlineStr">
        <is>
          <t>fanout_batch</t>
        </is>
      </c>
      <c r="G370" t="inlineStr">
        <is>
          <t>reuse</t>
        </is>
      </c>
      <c r="H370" t="inlineStr">
        <is>
          <t>seed_amazon_agi_ml_anchor</t>
        </is>
      </c>
      <c r="I370" t="inlineStr">
        <is>
          <t>Amazon AGI/LLM Anchor</t>
        </is>
      </c>
      <c r="J370" t="inlineStr">
        <is>
          <t>amazon_ai_ads_mainline</t>
        </is>
      </c>
      <c r="K370" t="inlineStr">
        <is>
          <t>mainline</t>
        </is>
      </c>
      <c r="L370"/>
      <c r="M370"/>
      <c r="N370"/>
      <c r="O370"/>
      <c r="P370"/>
      <c r="Q370"/>
      <c r="R370">
        <f>HYPERLINK("https://boards.greenhouse.io/embed/job_app?token=4307759005&amp;utm_source=jobright","https://boards.greenhouse.io/embed/job_app?token=4307759005&amp;utm_source=jobright")</f>
      </c>
    </row>
    <row r="371">
      <c r="A371" t="inlineStr">
        <is>
          <t>Cleo</t>
        </is>
      </c>
      <c r="B371" t="inlineStr">
        <is>
          <t>2026-04-04 07:42:46</t>
        </is>
      </c>
      <c r="C371" t="inlineStr">
        <is>
          <t>697d2e7e3f57a3356966f6de</t>
        </is>
      </c>
      <c r="D371" t="inlineStr">
        <is>
          <t>Senior Product Engineer (Ruby) | San Francisco</t>
        </is>
      </c>
      <c r="E371" t="inlineStr">
        <is>
          <t>1_Discovered</t>
        </is>
      </c>
      <c r="F371" t="inlineStr">
        <is>
          <t>fanout_batch</t>
        </is>
      </c>
      <c r="G371" t="inlineStr">
        <is>
          <t>retarget</t>
        </is>
      </c>
      <c r="H371" t="inlineStr">
        <is>
          <t>seed_codex_amazon_sde</t>
        </is>
      </c>
      <c r="I371" t="inlineStr">
        <is>
          <t>Amazon SDE</t>
        </is>
      </c>
      <c r="J371" t="inlineStr">
        <is>
          <t>amazon_platform_mainline</t>
        </is>
      </c>
      <c r="K371" t="inlineStr">
        <is>
          <t>mainline</t>
        </is>
      </c>
      <c r="L371"/>
      <c r="M371"/>
      <c r="N371">
        <v>68.5</v>
      </c>
      <c r="O371" t="inlineStr">
        <is>
          <t>fail</t>
        </is>
      </c>
      <c r="P371">
        <f>HYPERLINK("file:///Users/jingyizhang/Documents/Playground/projects/local_job_resume_pipeline/data/deliverables/resume_portfolio/by_company/cleo/2026-04-04/697d2e7e3f57a3356966f6de/resume.md","/Users/jingyizhang/Documents/Playground/projects/local_job_resume_pipeline/data/deliverables/resume_portfolio/by_company/cleo/2026-04-04/697d2e7e3f57a3356966f6de/resume.md")</f>
      </c>
      <c r="Q371"/>
      <c r="R371">
        <f>HYPERLINK("https://revolutpeople.com/cleo/public/careers/position/senior-product-engineer-ruby-san-francisco-c2b40f1f-5dd6-41f9-8b3c-52c98ca8c82b?src=LinkedIn","https://revolutpeople.com/cleo/public/careers/position/senior-product-engineer-ruby-san-francisco-c2b40f1f-5dd6-41f9-8b3c-52c98ca8c82b?src=LinkedIn")</f>
      </c>
    </row>
    <row r="372">
      <c r="A372" t="inlineStr">
        <is>
          <t>Glean</t>
        </is>
      </c>
      <c r="B372" t="inlineStr">
        <is>
          <t>2026-04-04 07:38:11</t>
        </is>
      </c>
      <c r="C372" t="inlineStr">
        <is>
          <t>6939d342ac80bb5492bc5339</t>
        </is>
      </c>
      <c r="D372" t="inlineStr">
        <is>
          <t>Software Engineer, Context Platform</t>
        </is>
      </c>
      <c r="E372" t="inlineStr">
        <is>
          <t>1_Discovered</t>
        </is>
      </c>
      <c r="F372" t="inlineStr">
        <is>
          <t>fanout_batch</t>
        </is>
      </c>
      <c r="G372" t="inlineStr">
        <is>
          <t>reuse</t>
        </is>
      </c>
      <c r="H372" t="inlineStr">
        <is>
          <t>seed_codex_amazon_sde</t>
        </is>
      </c>
      <c r="I372" t="inlineStr">
        <is>
          <t>Amazon SDE</t>
        </is>
      </c>
      <c r="J372" t="inlineStr">
        <is>
          <t>amazon_platform_mainline</t>
        </is>
      </c>
      <c r="K372" t="inlineStr">
        <is>
          <t>mainline</t>
        </is>
      </c>
      <c r="L372"/>
      <c r="M372"/>
      <c r="N372"/>
      <c r="O372"/>
      <c r="P372"/>
      <c r="Q372"/>
      <c r="R372">
        <f>HYPERLINK("https://boards.greenhouse.io/embed/job_app?token=4638008005&amp;utm_source=jobright","https://boards.greenhouse.io/embed/job_app?token=4638008005&amp;utm_source=jobright")</f>
      </c>
    </row>
    <row r="373">
      <c r="A373" t="inlineStr">
        <is>
          <t>Veterans United Home Loans</t>
        </is>
      </c>
      <c r="B373" t="inlineStr">
        <is>
          <t>2026-04-04 07:36:02</t>
        </is>
      </c>
      <c r="C373" t="inlineStr">
        <is>
          <t>69a3bdb6b600907a9629bd6d</t>
        </is>
      </c>
      <c r="D373" t="inlineStr">
        <is>
          <t>Associate Software Engineer (Remote/Hybrid)</t>
        </is>
      </c>
      <c r="E373" t="inlineStr">
        <is>
          <t>1_Discovered</t>
        </is>
      </c>
      <c r="F373" t="inlineStr">
        <is>
          <t>fanout_batch</t>
        </is>
      </c>
      <c r="G373" t="inlineStr">
        <is>
          <t>retarget</t>
        </is>
      </c>
      <c r="H373" t="inlineStr">
        <is>
          <t>seed_generalist_dotnet_enterprise</t>
        </is>
      </c>
      <c r="I373" t="inlineStr">
        <is>
          <t>Generalist DotNet Enterprise</t>
        </is>
      </c>
      <c r="J373"/>
      <c r="K373"/>
      <c r="L373"/>
      <c r="M373"/>
      <c r="N373">
        <v>93.7</v>
      </c>
      <c r="O373" t="inlineStr">
        <is>
          <t>pass</t>
        </is>
      </c>
      <c r="P373">
        <f>HYPERLINK("file:///Users/jingyizhang/Documents/Playground/projects/local_job_resume_pipeline/data/deliverables/resume_portfolio/by_company/veterans-united-home-loans/2026-04-04/69a3bdb6b600907a9629bd6d/resume.md","/Users/jingyizhang/Documents/Playground/projects/local_job_resume_pipeline/data/deliverables/resume_portfolio/by_company/veterans-united-home-loans/2026-04-04/69a3bdb6b600907a9629bd6d/resume.md")</f>
      </c>
      <c r="Q373"/>
      <c r="R373">
        <f>HYPERLINK("https://veteransunited.wd1.myworkdayjobs.com/VUHL/job/Remote-MO/Associate-Software-Engineer--Remote-Hybrid-_R5732?source=Linkedin","https://veteransunited.wd1.myworkdayjobs.com/VUHL/job/Remote-MO/Associate-Software-Engineer--Remote-Hybrid-_R5732?source=Linkedin")</f>
      </c>
    </row>
    <row r="374">
      <c r="A374" t="inlineStr">
        <is>
          <t>CarGurus</t>
        </is>
      </c>
      <c r="B374" t="inlineStr">
        <is>
          <t>2026-04-04 07:35:49</t>
        </is>
      </c>
      <c r="C374" t="inlineStr">
        <is>
          <t>69435a3c50bbaf76505539ff</t>
        </is>
      </c>
      <c r="D374" t="inlineStr">
        <is>
          <t>Senior Data Engineer, Data Governance</t>
        </is>
      </c>
      <c r="E374" t="inlineStr">
        <is>
          <t>1_Discovered</t>
        </is>
      </c>
      <c r="F374" t="inlineStr">
        <is>
          <t>fanout_batch</t>
        </is>
      </c>
      <c r="G374" t="inlineStr">
        <is>
          <t>retarget</t>
        </is>
      </c>
      <c r="H374" t="inlineStr">
        <is>
          <t>seed_qualified_health_data_engineer</t>
        </is>
      </c>
      <c r="I374" t="inlineStr">
        <is>
          <t>Qualified Health Data Engineer</t>
        </is>
      </c>
      <c r="J374"/>
      <c r="K374"/>
      <c r="L374"/>
      <c r="M374"/>
      <c r="N374">
        <v>94.3</v>
      </c>
      <c r="O374" t="inlineStr">
        <is>
          <t>pass</t>
        </is>
      </c>
      <c r="P374">
        <f>HYPERLINK("file:///Users/jingyizhang/Documents/Playground/projects/local_job_resume_pipeline/data/deliverables/resume_portfolio/by_company/cargurus/2026-04-04/69435a3c50bbaf76505539ff/resume.md","/Users/jingyizhang/Documents/Playground/projects/local_job_resume_pipeline/data/deliverables/resume_portfolio/by_company/cargurus/2026-04-04/69435a3c50bbaf76505539ff/resume.md")</f>
      </c>
      <c r="Q374"/>
      <c r="R374">
        <f>HYPERLINK("https://boards.greenhouse.io/embed/job_app?token=7082241&amp;utm_source=jobright","https://boards.greenhouse.io/embed/job_app?token=7082241&amp;utm_source=jobright")</f>
      </c>
    </row>
    <row r="375">
      <c r="A375" t="inlineStr">
        <is>
          <t>Applied Intuition</t>
        </is>
      </c>
      <c r="B375" t="inlineStr">
        <is>
          <t>2026-04-04 07:35:42</t>
        </is>
      </c>
      <c r="C375" t="inlineStr">
        <is>
          <t>689c192e79a9f96662536322</t>
        </is>
      </c>
      <c r="D375" t="inlineStr">
        <is>
          <t>Software Engineer</t>
        </is>
      </c>
      <c r="E375" t="inlineStr">
        <is>
          <t>1_Discovered</t>
        </is>
      </c>
      <c r="F375" t="inlineStr">
        <is>
          <t>fanout_batch</t>
        </is>
      </c>
      <c r="G375" t="inlineStr">
        <is>
          <t>reuse</t>
        </is>
      </c>
      <c r="H375" t="inlineStr">
        <is>
          <t>seed_fullstack_dotnet_azure</t>
        </is>
      </c>
      <c r="I375" t="inlineStr">
        <is>
          <t>Fullstack DotNet Azure</t>
        </is>
      </c>
      <c r="J375"/>
      <c r="K375"/>
      <c r="L375"/>
      <c r="M375"/>
      <c r="N375"/>
      <c r="O375"/>
      <c r="P375"/>
      <c r="Q375"/>
      <c r="R375">
        <f>HYPERLINK("https://boards.greenhouse.io/embed/job_app?token=4044661005&amp;utm_source=jobright","https://boards.greenhouse.io/embed/job_app?token=4044661005&amp;utm_source=jobright")</f>
      </c>
    </row>
    <row r="376">
      <c r="A376" t="inlineStr">
        <is>
          <t>Komodo Health</t>
        </is>
      </c>
      <c r="B376" t="inlineStr">
        <is>
          <t>2026-04-04 07:34:48</t>
        </is>
      </c>
      <c r="C376" t="inlineStr">
        <is>
          <t>69600c33a1bbea1d9a7ad533</t>
        </is>
      </c>
      <c r="D376" t="inlineStr">
        <is>
          <t>Analytics and Insights Manager</t>
        </is>
      </c>
      <c r="E376" t="inlineStr">
        <is>
          <t>1_Discovered</t>
        </is>
      </c>
      <c r="F376" t="inlineStr">
        <is>
          <t>fanout_batch</t>
        </is>
      </c>
      <c r="G376" t="inlineStr">
        <is>
          <t>retarget</t>
        </is>
      </c>
      <c r="H376" t="inlineStr">
        <is>
          <t>seed_h2o_ai_engineer</t>
        </is>
      </c>
      <c r="I376" t="inlineStr">
        <is>
          <t>H2O AI Engineer</t>
        </is>
      </c>
      <c r="J376"/>
      <c r="K376"/>
      <c r="L376"/>
      <c r="M376"/>
      <c r="N376">
        <v>74.3</v>
      </c>
      <c r="O376" t="inlineStr">
        <is>
          <t>fail</t>
        </is>
      </c>
      <c r="P376">
        <f>HYPERLINK("file:///Users/jingyizhang/Documents/Playground/projects/local_job_resume_pipeline/data/deliverables/resume_portfolio/by_company/komodo-health/2026-04-04/69600c33a1bbea1d9a7ad533/resume.md","/Users/jingyizhang/Documents/Playground/projects/local_job_resume_pipeline/data/deliverables/resume_portfolio/by_company/komodo-health/2026-04-04/69600c33a1bbea1d9a7ad533/resume.md")</f>
      </c>
      <c r="Q376"/>
      <c r="R376">
        <f>HYPERLINK("https://boards.greenhouse.io/embed/job_app?token=8363353002&amp;utm_source=jobright","https://boards.greenhouse.io/embed/job_app?token=8363353002&amp;utm_source=jobright")</f>
      </c>
    </row>
    <row r="377">
      <c r="A377" t="inlineStr">
        <is>
          <t>Aircall</t>
        </is>
      </c>
      <c r="B377" t="inlineStr">
        <is>
          <t>2026-04-04 07:33:43</t>
        </is>
      </c>
      <c r="C377" t="inlineStr">
        <is>
          <t>669b02f692553d9511d71146</t>
        </is>
      </c>
      <c r="D377" t="inlineStr">
        <is>
          <t>Data Scientist/Senior Data Scientist</t>
        </is>
      </c>
      <c r="E377" t="inlineStr">
        <is>
          <t>1_Discovered</t>
        </is>
      </c>
      <c r="F377" t="inlineStr">
        <is>
          <t>fanout_batch</t>
        </is>
      </c>
      <c r="G377" t="inlineStr">
        <is>
          <t>reuse</t>
        </is>
      </c>
      <c r="H377" t="inlineStr">
        <is>
          <t>seed_plaid_data_scientist</t>
        </is>
      </c>
      <c r="I377" t="inlineStr">
        <is>
          <t>Plaid Data Scientist</t>
        </is>
      </c>
      <c r="J377"/>
      <c r="K377"/>
      <c r="L377"/>
      <c r="M377"/>
      <c r="N377"/>
      <c r="O377"/>
      <c r="P377"/>
      <c r="Q377"/>
      <c r="R377">
        <f>HYPERLINK("https://jobs.lever.co/aircall/38507587-36b3-41df-8519-0b44b869e1be/apply?source=jobright","https://jobs.lever.co/aircall/38507587-36b3-41df-8519-0b44b869e1be/apply?source=jobright")</f>
      </c>
    </row>
    <row r="378">
      <c r="A378" t="inlineStr">
        <is>
          <t>M3 USA</t>
        </is>
      </c>
      <c r="B378" t="inlineStr">
        <is>
          <t>2026-04-04 07:29:48</t>
        </is>
      </c>
      <c r="C378" t="inlineStr">
        <is>
          <t>69b46cad06c1ba00c545da43</t>
        </is>
      </c>
      <c r="D378" t="inlineStr">
        <is>
          <t>AI Engineer (Remote)</t>
        </is>
      </c>
      <c r="E378" t="inlineStr">
        <is>
          <t>1_Discovered</t>
        </is>
      </c>
      <c r="F378" t="inlineStr">
        <is>
          <t>fanout_batch</t>
        </is>
      </c>
      <c r="G378" t="inlineStr">
        <is>
          <t>retarget</t>
        </is>
      </c>
      <c r="H378" t="inlineStr">
        <is>
          <t>seed_h2o_ai_engineer</t>
        </is>
      </c>
      <c r="I378" t="inlineStr">
        <is>
          <t>H2O AI Engineer</t>
        </is>
      </c>
      <c r="J378"/>
      <c r="K378"/>
      <c r="L378"/>
      <c r="M378"/>
      <c r="N378">
        <v>90.7</v>
      </c>
      <c r="O378" t="inlineStr">
        <is>
          <t>conditional_pass</t>
        </is>
      </c>
      <c r="P378">
        <f>HYPERLINK("file:///Users/jingyizhang/Documents/Playground/projects/local_job_resume_pipeline/data/deliverables/resume_portfolio/by_company/m3-usa/2026-04-04/69b46cad06c1ba00c545da43/resume.md","/Users/jingyizhang/Documents/Playground/projects/local_job_resume_pipeline/data/deliverables/resume_portfolio/by_company/m3-usa/2026-04-04/69b46cad06c1ba00c545da43/resume.md")</f>
      </c>
      <c r="Q378"/>
      <c r="R378">
        <f>HYPERLINK("https://jobs.smartrecruiters.com/M3USA/744000114730122-ai-engineer-remote-","https://jobs.smartrecruiters.com/M3USA/744000114730122-ai-engineer-remote-")</f>
      </c>
    </row>
    <row r="379">
      <c r="A379" t="inlineStr">
        <is>
          <t>Neuralink</t>
        </is>
      </c>
      <c r="B379" t="inlineStr">
        <is>
          <t>2026-04-04 07:27:34</t>
        </is>
      </c>
      <c r="C379" t="inlineStr">
        <is>
          <t>68cc48387342c7623ae6207b</t>
        </is>
      </c>
      <c r="D379" t="inlineStr">
        <is>
          <t>Software Engineer, Implant Manufacturing</t>
        </is>
      </c>
      <c r="E379" t="inlineStr">
        <is>
          <t>1_Discovered</t>
        </is>
      </c>
      <c r="F379" t="inlineStr">
        <is>
          <t>fanout_batch</t>
        </is>
      </c>
      <c r="G379" t="inlineStr">
        <is>
          <t>retarget</t>
        </is>
      </c>
      <c r="H379" t="inlineStr">
        <is>
          <t>seed_aws_support_backend_anchor</t>
        </is>
      </c>
      <c r="I379" t="inlineStr">
        <is>
          <t>AWS Support Backend Anchor</t>
        </is>
      </c>
      <c r="J379"/>
      <c r="K379"/>
      <c r="L379"/>
      <c r="M379"/>
      <c r="N379">
        <v>97.8</v>
      </c>
      <c r="O379" t="inlineStr">
        <is>
          <t>pass</t>
        </is>
      </c>
      <c r="P379">
        <f>HYPERLINK("file:///Users/jingyizhang/Documents/Playground/projects/local_job_resume_pipeline/data/deliverables/resume_portfolio/by_company/neuralink/2026-04-04/68cc48387342c7623ae6207b/resume.md","/Users/jingyizhang/Documents/Playground/projects/local_job_resume_pipeline/data/deliverables/resume_portfolio/by_company/neuralink/2026-04-04/68cc48387342c7623ae6207b/resume.md")</f>
      </c>
      <c r="Q379"/>
      <c r="R379">
        <f>HYPERLINK("https://www.linkedin.com/jobs/view/4147219629","https://www.linkedin.com/jobs/view/4147219629")</f>
      </c>
    </row>
    <row r="380">
      <c r="A380" t="inlineStr">
        <is>
          <t>Nuro</t>
        </is>
      </c>
      <c r="B380" t="inlineStr">
        <is>
          <t>2026-04-04 07:24:15</t>
        </is>
      </c>
      <c r="C380" t="inlineStr">
        <is>
          <t>696fbf8a3ed06875134ab247</t>
        </is>
      </c>
      <c r="D380" t="inlineStr">
        <is>
          <t>Senior Software Engineer, Cloud Infrastructure</t>
        </is>
      </c>
      <c r="E380" t="inlineStr">
        <is>
          <t>1_Discovered</t>
        </is>
      </c>
      <c r="F380" t="inlineStr">
        <is>
          <t>fanout_batch</t>
        </is>
      </c>
      <c r="G380" t="inlineStr">
        <is>
          <t>reuse</t>
        </is>
      </c>
      <c r="H380" t="inlineStr">
        <is>
          <t>seed_trimedx_platform_multicloud</t>
        </is>
      </c>
      <c r="I380" t="inlineStr">
        <is>
          <t>TRIMEDX Platform Multicloud</t>
        </is>
      </c>
      <c r="J380"/>
      <c r="K380"/>
      <c r="L380"/>
      <c r="M380"/>
      <c r="N380"/>
      <c r="O380"/>
      <c r="P380"/>
      <c r="Q380"/>
      <c r="R380">
        <f>HYPERLINK("https://boards.greenhouse.io/embed/job_app?token=7472664&amp;utm_source=jobright","https://boards.greenhouse.io/embed/job_app?token=7472664&amp;utm_source=jobright")</f>
      </c>
    </row>
    <row r="381">
      <c r="A381" t="inlineStr">
        <is>
          <t>Reddit, Inc.</t>
        </is>
      </c>
      <c r="B381" t="inlineStr">
        <is>
          <t>2026-04-04 07:23:32</t>
        </is>
      </c>
      <c r="C381" t="inlineStr">
        <is>
          <t>69af49ca749500645093ccfe</t>
        </is>
      </c>
      <c r="D381" t="inlineStr">
        <is>
          <t>Senior Machine Learning Engineer</t>
        </is>
      </c>
      <c r="E381" t="inlineStr">
        <is>
          <t>1_Discovered</t>
        </is>
      </c>
      <c r="F381" t="inlineStr">
        <is>
          <t>fanout_batch</t>
        </is>
      </c>
      <c r="G381" t="inlineStr">
        <is>
          <t>retarget</t>
        </is>
      </c>
      <c r="H381" t="inlineStr">
        <is>
          <t>seed_h2o_ai_engineer</t>
        </is>
      </c>
      <c r="I381" t="inlineStr">
        <is>
          <t>H2O AI Engineer</t>
        </is>
      </c>
      <c r="J381"/>
      <c r="K381"/>
      <c r="L381"/>
      <c r="M381"/>
      <c r="N381">
        <v>94.3</v>
      </c>
      <c r="O381" t="inlineStr">
        <is>
          <t>pass</t>
        </is>
      </c>
      <c r="P381">
        <f>HYPERLINK("file:///Users/jingyizhang/Documents/Playground/projects/local_job_resume_pipeline/data/deliverables/resume_portfolio/by_company/reddit-inc/2026-04-04/69af49ca749500645093ccfe/resume.md","/Users/jingyizhang/Documents/Playground/projects/local_job_resume_pipeline/data/deliverables/resume_portfolio/by_company/reddit-inc/2026-04-04/69af49ca749500645093ccfe/resume.md")</f>
      </c>
      <c r="Q381"/>
      <c r="R381">
        <f>HYPERLINK("https://boards.greenhouse.io/embed/job_app?token=7697512&amp;utm_source=jobright","https://boards.greenhouse.io/embed/job_app?token=7697512&amp;utm_source=jobright")</f>
      </c>
    </row>
    <row r="382">
      <c r="A382" t="inlineStr">
        <is>
          <t>Sentry</t>
        </is>
      </c>
      <c r="B382" t="inlineStr">
        <is>
          <t>2026-04-04 07:18:13</t>
        </is>
      </c>
      <c r="C382" t="inlineStr">
        <is>
          <t>69d10185cdb525785fbb00eb</t>
        </is>
      </c>
      <c r="D382" t="inlineStr">
        <is>
          <t>Senior Software Engineer, Analytics Platform</t>
        </is>
      </c>
      <c r="E382" t="inlineStr">
        <is>
          <t>1_Discovered</t>
        </is>
      </c>
      <c r="F382" t="inlineStr">
        <is>
          <t>seed_validation</t>
        </is>
      </c>
      <c r="G382" t="inlineStr">
        <is>
          <t>reuse</t>
        </is>
      </c>
      <c r="H382" t="inlineStr">
        <is>
          <t>seed_spotify_backend_music</t>
        </is>
      </c>
      <c r="I382" t="inlineStr">
        <is>
          <t>Spotify Backend Music</t>
        </is>
      </c>
      <c r="J382"/>
      <c r="K382"/>
      <c r="L382"/>
      <c r="M382"/>
      <c r="N382"/>
      <c r="O382"/>
      <c r="P382"/>
      <c r="Q382"/>
      <c r="R382">
        <f>HYPERLINK("https://jobs.ashbyhq.com/sentry/6ff0f8c6-8d33-4757-bbeb-e149e0cd8873?utm_source=JOZmexpwqv","https://jobs.ashbyhq.com/sentry/6ff0f8c6-8d33-4757-bbeb-e149e0cd8873?utm_source=JOZmexpwqv")</f>
      </c>
    </row>
    <row r="383">
      <c r="A383" t="inlineStr">
        <is>
          <t>Hudson River Trading</t>
        </is>
      </c>
      <c r="B383" t="inlineStr">
        <is>
          <t>2026-04-04 07:16:23</t>
        </is>
      </c>
      <c r="C383" t="inlineStr">
        <is>
          <t>69b46b6f569738374139358d</t>
        </is>
      </c>
      <c r="D383" t="inlineStr">
        <is>
          <t>Junior Quantitative Latency Engineer</t>
        </is>
      </c>
      <c r="E383" t="inlineStr">
        <is>
          <t>1_Discovered</t>
        </is>
      </c>
      <c r="F383" t="inlineStr">
        <is>
          <t>fanout_batch</t>
        </is>
      </c>
      <c r="G383" t="inlineStr">
        <is>
          <t>reuse</t>
        </is>
      </c>
      <c r="H383" t="inlineStr">
        <is>
          <t>seed_qualified_health_data_engineer</t>
        </is>
      </c>
      <c r="I383" t="inlineStr">
        <is>
          <t>Qualified Health Data Engineer</t>
        </is>
      </c>
      <c r="J383"/>
      <c r="K383"/>
      <c r="L383"/>
      <c r="M383"/>
      <c r="N383"/>
      <c r="O383"/>
      <c r="P383"/>
      <c r="Q383"/>
      <c r="R383">
        <f>HYPERLINK("https://boards.greenhouse.io/embed/job_app?token=7706268&amp;utm_source=jobright","https://boards.greenhouse.io/embed/job_app?token=7706268&amp;utm_source=jobright")</f>
      </c>
    </row>
    <row r="384">
      <c r="A384" t="inlineStr">
        <is>
          <t>KLA</t>
        </is>
      </c>
      <c r="B384" t="inlineStr">
        <is>
          <t>2026-04-04 07:15:51</t>
        </is>
      </c>
      <c r="C384" t="inlineStr">
        <is>
          <t>6997d94381476f6176b0108a</t>
        </is>
      </c>
      <c r="D384" t="inlineStr">
        <is>
          <t>GPU Software Engineer</t>
        </is>
      </c>
      <c r="E384" t="inlineStr">
        <is>
          <t>1_Discovered</t>
        </is>
      </c>
      <c r="F384" t="inlineStr">
        <is>
          <t>fanout_batch</t>
        </is>
      </c>
      <c r="G384" t="inlineStr">
        <is>
          <t>retarget</t>
        </is>
      </c>
      <c r="H384" t="inlineStr">
        <is>
          <t>seed_paypal_java_backend</t>
        </is>
      </c>
      <c r="I384" t="inlineStr">
        <is>
          <t>PayPal Java Backend</t>
        </is>
      </c>
      <c r="J384"/>
      <c r="K384"/>
      <c r="L384"/>
      <c r="M384"/>
      <c r="N384">
        <v>93.7</v>
      </c>
      <c r="O384" t="inlineStr">
        <is>
          <t>pass</t>
        </is>
      </c>
      <c r="P384">
        <f>HYPERLINK("file:///Users/jingyizhang/Documents/Playground/projects/local_job_resume_pipeline/data/deliverables/resume_portfolio/by_company/kla/2026-04-04/6997d94381476f6176b0108a/resume.md","/Users/jingyizhang/Documents/Playground/projects/local_job_resume_pipeline/data/deliverables/resume_portfolio/by_company/kla/2026-04-04/6997d94381476f6176b0108a/resume.md")</f>
      </c>
      <c r="Q384"/>
      <c r="R384">
        <f>HYPERLINK("https://kla.wd1.myworkdayjobs.com/Search/job/Milpitas-CA/GPU-Software-Engineer_2633775?bid=370&amp;source=Job_Board_LinkedIn","https://kla.wd1.myworkdayjobs.com/Search/job/Milpitas-CA/GPU-Software-Engineer_2633775?bid=370&amp;source=Job_Board_LinkedIn")</f>
      </c>
    </row>
    <row r="385">
      <c r="A385" t="inlineStr">
        <is>
          <t>SS&amp;C Technologies</t>
        </is>
      </c>
      <c r="B385" t="inlineStr">
        <is>
          <t>2026-04-04 07:15:43</t>
        </is>
      </c>
      <c r="C385" t="inlineStr">
        <is>
          <t>69d100ef891d7b11cfce12ba</t>
        </is>
      </c>
      <c r="D385" t="inlineStr">
        <is>
          <t>Sr. Software Developer</t>
        </is>
      </c>
      <c r="E385" t="inlineStr">
        <is>
          <t>1_Discovered</t>
        </is>
      </c>
      <c r="F385" t="inlineStr">
        <is>
          <t>fanout_batch</t>
        </is>
      </c>
      <c r="G385" t="inlineStr">
        <is>
          <t>retarget</t>
        </is>
      </c>
      <c r="H385" t="inlineStr">
        <is>
          <t>seed_generalist_dotnet_enterprise</t>
        </is>
      </c>
      <c r="I385" t="inlineStr">
        <is>
          <t>Generalist DotNet Enterprise</t>
        </is>
      </c>
      <c r="J385"/>
      <c r="K385"/>
      <c r="L385"/>
      <c r="M385"/>
      <c r="N385">
        <v>87.5</v>
      </c>
      <c r="O385" t="inlineStr">
        <is>
          <t>fail</t>
        </is>
      </c>
      <c r="P385">
        <f>HYPERLINK("file:///Users/jingyizhang/Documents/Playground/projects/local_job_resume_pipeline/data/deliverables/resume_portfolio/by_company/ss-c-technologies/2026-04-04/69d100ef891d7b11cfce12ba/resume.md","/Users/jingyizhang/Documents/Playground/projects/local_job_resume_pipeline/data/deliverables/resume_portfolio/by_company/ss-c-technologies/2026-04-04/69d100ef891d7b11cfce12ba/resume.md")</f>
      </c>
      <c r="Q385"/>
      <c r="R385">
        <f>HYPERLINK("https://www.linkedin.com/jobs/view/4345031253","https://www.linkedin.com/jobs/view/4345031253")</f>
      </c>
    </row>
    <row r="386">
      <c r="A386" t="inlineStr">
        <is>
          <t>Verkada</t>
        </is>
      </c>
      <c r="B386" t="inlineStr">
        <is>
          <t>2026-04-04 07:15:35</t>
        </is>
      </c>
      <c r="C386" t="inlineStr">
        <is>
          <t>68b5dc29f4e41a61efd91631</t>
        </is>
      </c>
      <c r="D386" t="inlineStr">
        <is>
          <t>Senior Backend Engineer - Camera Foundation</t>
        </is>
      </c>
      <c r="E386" t="inlineStr">
        <is>
          <t>1_Discovered</t>
        </is>
      </c>
      <c r="F386" t="inlineStr">
        <is>
          <t>fanout_batch</t>
        </is>
      </c>
      <c r="G386" t="inlineStr">
        <is>
          <t>retarget</t>
        </is>
      </c>
      <c r="H386" t="inlineStr">
        <is>
          <t>seed_google_cloud_infra_anchor_candidate</t>
        </is>
      </c>
      <c r="I386" t="inlineStr">
        <is>
          <t>Google Cloud Infra Anchor</t>
        </is>
      </c>
      <c r="J386" t="inlineStr">
        <is>
          <t>google_cloud_infra_mainline</t>
        </is>
      </c>
      <c r="K386" t="inlineStr">
        <is>
          <t>mainline</t>
        </is>
      </c>
      <c r="L386"/>
      <c r="M386"/>
      <c r="N386">
        <v>95.9</v>
      </c>
      <c r="O386" t="inlineStr">
        <is>
          <t>pass</t>
        </is>
      </c>
      <c r="P386">
        <f>HYPERLINK("file:///Users/jingyizhang/Documents/Playground/projects/local_job_resume_pipeline/data/deliverables/resume_portfolio/by_company/verkada/2026-04-04/68b5dc29f4e41a61efd91631/resume.md","/Users/jingyizhang/Documents/Playground/projects/local_job_resume_pipeline/data/deliverables/resume_portfolio/by_company/verkada/2026-04-04/68b5dc29f4e41a61efd91631/resume.md")</f>
      </c>
      <c r="Q386"/>
      <c r="R386">
        <f>HYPERLINK("https://www.linkedin.com/jobs/view/4215955599","https://www.linkedin.com/jobs/view/4215955599")</f>
      </c>
    </row>
    <row r="387">
      <c r="A387" t="inlineStr">
        <is>
          <t>Siemens Energy</t>
        </is>
      </c>
      <c r="B387" t="inlineStr">
        <is>
          <t>2026-04-04 07:15:20</t>
        </is>
      </c>
      <c r="C387" t="inlineStr">
        <is>
          <t>69b190c2548f140066e764c8</t>
        </is>
      </c>
      <c r="D387" t="inlineStr">
        <is>
          <t>Software Development Engineer—Backend</t>
        </is>
      </c>
      <c r="E387" t="inlineStr">
        <is>
          <t>1_Discovered</t>
        </is>
      </c>
      <c r="F387" t="inlineStr">
        <is>
          <t>fanout_batch</t>
        </is>
      </c>
      <c r="G387" t="inlineStr">
        <is>
          <t>retarget</t>
        </is>
      </c>
      <c r="H387" t="inlineStr">
        <is>
          <t>seed_generalist_dotnet_enterprise</t>
        </is>
      </c>
      <c r="I387" t="inlineStr">
        <is>
          <t>Generalist DotNet Enterprise</t>
        </is>
      </c>
      <c r="J387"/>
      <c r="K387"/>
      <c r="L387"/>
      <c r="M387"/>
      <c r="N387">
        <v>93.0</v>
      </c>
      <c r="O387" t="inlineStr">
        <is>
          <t>pass</t>
        </is>
      </c>
      <c r="P387">
        <f>HYPERLINK("file:///Users/jingyizhang/Documents/Playground/projects/local_job_resume_pipeline/data/deliverables/resume_portfolio/by_company/siemens-energy/2026-04-04/69b190c2548f140066e764c8/resume.md","/Users/jingyizhang/Documents/Playground/projects/local_job_resume_pipeline/data/deliverables/resume_portfolio/by_company/siemens-energy/2026-04-04/69b190c2548f140066e764c8/resume.md")</f>
      </c>
      <c r="Q387"/>
      <c r="R387">
        <f>HYPERLINK("https://jobs.siemens-energy.com/Jobs/FolderDetail?folderId=287467&amp;source=LinkedIn&amp;sourceType=PREMIUM_POST_SITE","https://jobs.siemens-energy.com/Jobs/FolderDetail?folderId=287467&amp;source=LinkedIn&amp;sourceType=PREMIUM_POST_SITE")</f>
      </c>
    </row>
    <row r="388">
      <c r="A388" t="inlineStr">
        <is>
          <t>Cisco</t>
        </is>
      </c>
      <c r="B388" t="inlineStr">
        <is>
          <t>2026-04-04 07:14:57</t>
        </is>
      </c>
      <c r="C388" t="inlineStr">
        <is>
          <t>69d100c1cdb525785fbafdfe</t>
        </is>
      </c>
      <c r="D388" t="inlineStr">
        <is>
          <t>Software Engineer Data/AI/Intelligent Systems II (Full Time) – United States</t>
        </is>
      </c>
      <c r="E388" t="inlineStr">
        <is>
          <t>1_Discovered</t>
        </is>
      </c>
      <c r="F388" t="inlineStr">
        <is>
          <t>fanout_batch</t>
        </is>
      </c>
      <c r="G388" t="inlineStr">
        <is>
          <t>retarget</t>
        </is>
      </c>
      <c r="H388" t="inlineStr">
        <is>
          <t>seed_h2o_ai_engineer</t>
        </is>
      </c>
      <c r="I388" t="inlineStr">
        <is>
          <t>H2O AI Engineer</t>
        </is>
      </c>
      <c r="J388"/>
      <c r="K388"/>
      <c r="L388"/>
      <c r="M388"/>
      <c r="N388">
        <v>94.9</v>
      </c>
      <c r="O388" t="inlineStr">
        <is>
          <t>pass</t>
        </is>
      </c>
      <c r="P388">
        <f>HYPERLINK("file:///Users/jingyizhang/Documents/Playground/projects/local_job_resume_pipeline/data/deliverables/resume_portfolio/by_company/cisco/2026-04-04/69d100c1cdb525785fbafdfe/resume.md","/Users/jingyizhang/Documents/Playground/projects/local_job_resume_pipeline/data/deliverables/resume_portfolio/by_company/cisco/2026-04-04/69d100c1cdb525785fbafdfe/resume.md")</f>
      </c>
      <c r="Q388"/>
      <c r="R388">
        <f>HYPERLINK("https://careers.cisco.com/global/en/job/CISCISGLOBAL2000137EXTERNALENGLOBAL/Software-Engineer-Data-AI-Intelligent-Systems-II-Full-Time-United-States?utm_source=linkedin&amp;utm_medium=phenom-feeds","https://careers.cisco.com/global/en/job/CISCISGLOBAL2000137EXTERNALENGLOBAL/Software-Engineer-Data-AI-Intelligent-Systems-II-Full-Time-United-States?utm_source=linkedin&amp;utm_medium=phenom-feeds")</f>
      </c>
    </row>
    <row r="389">
      <c r="A389" t="inlineStr">
        <is>
          <t>Oscilar</t>
        </is>
      </c>
      <c r="B389" t="inlineStr">
        <is>
          <t>2026-04-04 07:14:21</t>
        </is>
      </c>
      <c r="C389" t="inlineStr">
        <is>
          <t>69a71e892672cb0acb4b8b43</t>
        </is>
      </c>
      <c r="D389" t="inlineStr">
        <is>
          <t>Fraud &amp; AML Data Analyst</t>
        </is>
      </c>
      <c r="E389" t="inlineStr">
        <is>
          <t>1_Discovered</t>
        </is>
      </c>
      <c r="F389" t="inlineStr">
        <is>
          <t>fanout_batch</t>
        </is>
      </c>
      <c r="G389" t="inlineStr">
        <is>
          <t>retarget</t>
        </is>
      </c>
      <c r="H389" t="inlineStr">
        <is>
          <t>seed_bytedance_ml_grad</t>
        </is>
      </c>
      <c r="I389" t="inlineStr">
        <is>
          <t>ByteDance ML Grad</t>
        </is>
      </c>
      <c r="J389"/>
      <c r="K389"/>
      <c r="L389"/>
      <c r="M389"/>
      <c r="N389">
        <v>93.7</v>
      </c>
      <c r="O389" t="inlineStr">
        <is>
          <t>pass</t>
        </is>
      </c>
      <c r="P389">
        <f>HYPERLINK("file:///Users/jingyizhang/Documents/Playground/projects/local_job_resume_pipeline/data/deliverables/resume_portfolio/by_company/oscilar/2026-04-04/69a71e892672cb0acb4b8b43/resume.md","/Users/jingyizhang/Documents/Playground/projects/local_job_resume_pipeline/data/deliverables/resume_portfolio/by_company/oscilar/2026-04-04/69a71e892672cb0acb4b8b43/resume.md")</f>
      </c>
      <c r="Q389"/>
      <c r="R389">
        <f>HYPERLINK("https://jobs.ashbyhq.com/oscilar/bf1e6a20-b0d4-4262-83f6-f40081bdd9b3?utm_source=8PNPqvOGX9","https://jobs.ashbyhq.com/oscilar/bf1e6a20-b0d4-4262-83f6-f40081bdd9b3?utm_source=8PNPqvOGX9")</f>
      </c>
    </row>
    <row r="390">
      <c r="A390" t="inlineStr">
        <is>
          <t>CVS Health</t>
        </is>
      </c>
      <c r="B390" t="inlineStr">
        <is>
          <t>2026-04-04 07:08:10</t>
        </is>
      </c>
      <c r="C390" t="inlineStr">
        <is>
          <t>69d0ff2a0b098b7a6707f1b6</t>
        </is>
      </c>
      <c r="D390" t="inlineStr">
        <is>
          <t>Full Stack Associate Software Development Engineer (Java)</t>
        </is>
      </c>
      <c r="E390" t="inlineStr">
        <is>
          <t>1_Discovered</t>
        </is>
      </c>
      <c r="F390" t="inlineStr">
        <is>
          <t>seed_source</t>
        </is>
      </c>
      <c r="G390" t="inlineStr">
        <is>
          <t>seed_source</t>
        </is>
      </c>
      <c r="H390" t="inlineStr">
        <is>
          <t>seed_fullstack_java_react_enterprise</t>
        </is>
      </c>
      <c r="I390" t="inlineStr">
        <is>
          <t>Fullstack Java React Enterprise</t>
        </is>
      </c>
      <c r="J390"/>
      <c r="K390"/>
      <c r="L390"/>
      <c r="M390"/>
      <c r="N390">
        <v>93.7</v>
      </c>
      <c r="O390" t="inlineStr">
        <is>
          <t>pass</t>
        </is>
      </c>
      <c r="P390">
        <f>HYPERLINK("file:///Users/jingyizhang/Documents/Playground/projects/local_job_resume_pipeline/data/deliverables/resume_portfolio/by_company/cvs-health/2026-04-04/69d0ff2a0b098b7a6707f1b6/resume.md","/Users/jingyizhang/Documents/Playground/projects/local_job_resume_pipeline/data/deliverables/resume_portfolio/by_company/cvs-health/2026-04-04/69d0ff2a0b098b7a6707f1b6/resume.md")</f>
      </c>
      <c r="Q390"/>
      <c r="R390">
        <f>HYPERLINK("https://jobs.cvshealth.com/us/en/job/CVSCHLUSR0866170EXTERNALENUS/Full-Stack-Associate-Software-Development-Engineer-Java?utm_source=Linkedin&amp;utm_medium=phenom-feeds","https://jobs.cvshealth.com/us/en/job/CVSCHLUSR0866170EXTERNALENUS/Full-Stack-Associate-Software-Development-Engineer-Java?utm_source=Linkedin&amp;utm_medium=phenom-feeds")</f>
      </c>
    </row>
    <row r="391">
      <c r="A391" t="inlineStr">
        <is>
          <t>Amazon Web Services (AWS)</t>
        </is>
      </c>
      <c r="B391" t="inlineStr">
        <is>
          <t>2026-04-04 07:07:49</t>
        </is>
      </c>
      <c r="C391" t="inlineStr">
        <is>
          <t>69d0ff1554f00230c6d17d6a</t>
        </is>
      </c>
      <c r="D391" t="inlineStr">
        <is>
          <t>Software Dev Engineer II, Amazon DocumentDB</t>
        </is>
      </c>
      <c r="E391" t="inlineStr">
        <is>
          <t>1_Discovered</t>
        </is>
      </c>
      <c r="F391" t="inlineStr">
        <is>
          <t>retarget_trial</t>
        </is>
      </c>
      <c r="G391" t="inlineStr">
        <is>
          <t>new_seed</t>
        </is>
      </c>
      <c r="H391" t="inlineStr">
        <is>
          <t>seed_aws_support_backend_anchor</t>
        </is>
      </c>
      <c r="I391" t="inlineStr">
        <is>
          <t>AWS Support Backend Anchor</t>
        </is>
      </c>
      <c r="J391"/>
      <c r="K391"/>
      <c r="L391"/>
      <c r="M391"/>
      <c r="N391">
        <v>94.4</v>
      </c>
      <c r="O391" t="inlineStr">
        <is>
          <t>pass</t>
        </is>
      </c>
      <c r="P391">
        <f>HYPERLINK("file:///Users/jingyizhang/Documents/Playground/projects/local_job_resume_pipeline/data/deliverables/resume_portfolio/by_company/amazon-web-services-aws/2026-04-04/69d0ff1554f00230c6d17d6a/resume.md","/Users/jingyizhang/Documents/Playground/projects/local_job_resume_pipeline/data/deliverables/resume_portfolio/by_company/amazon-web-services-aws/2026-04-04/69d0ff1554f00230c6d17d6a/resume.md")</f>
      </c>
      <c r="Q391"/>
      <c r="R391">
        <f>HYPERLINK("https://www.amazon.jobs/jobs/10383430/software-dev-engineer-ii-amazon-documentdb?cmpid=SPLICX0248M&amp;utm_source=linkedin.com&amp;utm_campaign=cxro&amp;utm_medium=social_media&amp;utm_content=job_posting&amp;ss=paid","https://www.amazon.jobs/jobs/10383430/software-dev-engineer-ii-amazon-documentdb?cmpid=SPLICX0248M&amp;utm_source=linkedin.com&amp;utm_campaign=cxro&amp;utm_medium=social_media&amp;utm_content=job_posting&amp;ss=paid")</f>
      </c>
    </row>
    <row r="392">
      <c r="A392" t="inlineStr">
        <is>
          <t>Schonfeld</t>
        </is>
      </c>
      <c r="B392" t="inlineStr">
        <is>
          <t>2026-04-04 07:03:36</t>
        </is>
      </c>
      <c r="C392" t="inlineStr">
        <is>
          <t>697c22121423772304ec82e9</t>
        </is>
      </c>
      <c r="D392" t="inlineStr">
        <is>
          <t>Platform Engineer</t>
        </is>
      </c>
      <c r="E392" t="inlineStr">
        <is>
          <t>1_Discovered</t>
        </is>
      </c>
      <c r="F392" t="inlineStr">
        <is>
          <t>seed_validation</t>
        </is>
      </c>
      <c r="G392" t="inlineStr">
        <is>
          <t>reuse</t>
        </is>
      </c>
      <c r="H392" t="inlineStr">
        <is>
          <t>seed_trimedx_platform_multicloud</t>
        </is>
      </c>
      <c r="I392" t="inlineStr">
        <is>
          <t>TRIMEDX Platform Multicloud</t>
        </is>
      </c>
      <c r="J392"/>
      <c r="K392"/>
      <c r="L392"/>
      <c r="M392"/>
      <c r="N392"/>
      <c r="O392"/>
      <c r="P392"/>
      <c r="Q392"/>
      <c r="R392">
        <f>HYPERLINK("https://boards.greenhouse.io/embed/job_app?token=7544207&amp;utm_source=jobright","https://boards.greenhouse.io/embed/job_app?token=7544207&amp;utm_source=jobright")</f>
      </c>
    </row>
    <row r="393">
      <c r="A393" t="inlineStr">
        <is>
          <t>Arlo</t>
        </is>
      </c>
      <c r="B393" t="inlineStr">
        <is>
          <t>2026-04-04 06:36:56</t>
        </is>
      </c>
      <c r="C393" t="inlineStr">
        <is>
          <t>69a7b876637232443f650896</t>
        </is>
      </c>
      <c r="D393" t="inlineStr">
        <is>
          <t>Product Engineer</t>
        </is>
      </c>
      <c r="E393" t="inlineStr">
        <is>
          <t>1_Discovered</t>
        </is>
      </c>
      <c r="F393" t="inlineStr">
        <is>
          <t>seed_validation</t>
        </is>
      </c>
      <c r="G393" t="inlineStr">
        <is>
          <t>reuse</t>
        </is>
      </c>
      <c r="H393" t="inlineStr">
        <is>
          <t>seed_frontend_web_perf</t>
        </is>
      </c>
      <c r="I393" t="inlineStr">
        <is>
          <t>Frontend Web Performance</t>
        </is>
      </c>
      <c r="J393"/>
      <c r="K393"/>
      <c r="L393"/>
      <c r="M393"/>
      <c r="N393"/>
      <c r="O393"/>
      <c r="P393"/>
      <c r="Q393"/>
      <c r="R393">
        <f>HYPERLINK("https://jobs.ashbyhq.com/Arlo/1429423a-a98b-459d-8d89-b80e0862ab8c/application?utm_source=X83G3ZDdLz&amp;src=LinkedIn+Recruiter","https://jobs.ashbyhq.com/Arlo/1429423a-a98b-459d-8d89-b80e0862ab8c/application?utm_source=X83G3ZDdLz&amp;src=LinkedIn+Recruiter")</f>
      </c>
    </row>
    <row r="394">
      <c r="A394" t="inlineStr">
        <is>
          <t>Aircall</t>
        </is>
      </c>
      <c r="B394" t="inlineStr">
        <is>
          <t>2026-04-04 06:22:16</t>
        </is>
      </c>
      <c r="C394" t="inlineStr">
        <is>
          <t>697c4a441423772304ecbec0</t>
        </is>
      </c>
      <c r="D394" t="inlineStr">
        <is>
          <t>Senior Software Engineer</t>
        </is>
      </c>
      <c r="E394" t="inlineStr">
        <is>
          <t>1_Discovered</t>
        </is>
      </c>
      <c r="F394" t="inlineStr">
        <is>
          <t>fanout_batch</t>
        </is>
      </c>
      <c r="G394" t="inlineStr">
        <is>
          <t>reuse</t>
        </is>
      </c>
      <c r="H394" t="inlineStr">
        <is>
          <t>seed_fullstack_dotnet_azure</t>
        </is>
      </c>
      <c r="I394" t="inlineStr">
        <is>
          <t>Fullstack DotNet Azure</t>
        </is>
      </c>
      <c r="J394"/>
      <c r="K394"/>
      <c r="L394"/>
      <c r="M394"/>
      <c r="N394"/>
      <c r="O394"/>
      <c r="P394"/>
      <c r="Q394"/>
      <c r="R394">
        <f>HYPERLINK("https://jobs.lever.co/aircall/bbc916f0-d549-4892-8884-9da7546dfda2/apply?source=jobright","https://jobs.lever.co/aircall/bbc916f0-d549-4892-8884-9da7546dfda2/apply?source=jobright")</f>
      </c>
    </row>
    <row r="395">
      <c r="A395" t="inlineStr">
        <is>
          <t>Nuro</t>
        </is>
      </c>
      <c r="B395" t="inlineStr">
        <is>
          <t>2026-04-04 06:19:50</t>
        </is>
      </c>
      <c r="C395" t="inlineStr">
        <is>
          <t>6997d0d8e0bddb6acac69ae5</t>
        </is>
      </c>
      <c r="D395" t="inlineStr">
        <is>
          <t>Software Engineer, Offboard Infrastructure</t>
        </is>
      </c>
      <c r="E395" t="inlineStr">
        <is>
          <t>1_Discovered</t>
        </is>
      </c>
      <c r="F395" t="inlineStr">
        <is>
          <t>fanout_batch</t>
        </is>
      </c>
      <c r="G395" t="inlineStr">
        <is>
          <t>retarget</t>
        </is>
      </c>
      <c r="H395" t="inlineStr">
        <is>
          <t>seed_google_cloud_infra_anchor_candidate</t>
        </is>
      </c>
      <c r="I395" t="inlineStr">
        <is>
          <t>Google Cloud Infra Anchor</t>
        </is>
      </c>
      <c r="J395" t="inlineStr">
        <is>
          <t>google_cloud_infra_mainline</t>
        </is>
      </c>
      <c r="K395" t="inlineStr">
        <is>
          <t>mainline</t>
        </is>
      </c>
      <c r="L395"/>
      <c r="M395"/>
      <c r="N395">
        <v>94.3</v>
      </c>
      <c r="O395" t="inlineStr">
        <is>
          <t>pass</t>
        </is>
      </c>
      <c r="P395">
        <f>HYPERLINK("file:///Users/jingyizhang/Documents/Playground/projects/local_job_resume_pipeline/data/deliverables/resume_portfolio/by_company/nuro/2026-04-04/6997d0d8e0bddb6acac69ae5/resume.md","/Users/jingyizhang/Documents/Playground/projects/local_job_resume_pipeline/data/deliverables/resume_portfolio/by_company/nuro/2026-04-04/6997d0d8e0bddb6acac69ae5/resume.md")</f>
      </c>
      <c r="Q395"/>
      <c r="R395">
        <f>HYPERLINK("https://boards.greenhouse.io/embed/job_app?token=7638789&amp;utm_source=jobright","https://boards.greenhouse.io/embed/job_app?token=7638789&amp;utm_source=jobright")</f>
      </c>
    </row>
    <row r="396">
      <c r="A396" t="inlineStr">
        <is>
          <t>Lincare</t>
        </is>
      </c>
      <c r="B396" t="inlineStr">
        <is>
          <t>2026-04-04 05:55:16</t>
        </is>
      </c>
      <c r="C396" t="inlineStr">
        <is>
          <t>69d0ee14891d7b11cfce0d6b</t>
        </is>
      </c>
      <c r="D396" t="inlineStr">
        <is>
          <t>Data Scientist</t>
        </is>
      </c>
      <c r="E396" t="inlineStr">
        <is>
          <t>1_Discovered</t>
        </is>
      </c>
      <c r="F396" t="inlineStr">
        <is>
          <t>fanout_batch</t>
        </is>
      </c>
      <c r="G396" t="inlineStr">
        <is>
          <t>retarget</t>
        </is>
      </c>
      <c r="H396" t="inlineStr">
        <is>
          <t>seed_bytedance_ml_grad</t>
        </is>
      </c>
      <c r="I396" t="inlineStr">
        <is>
          <t>ByteDance ML Grad</t>
        </is>
      </c>
      <c r="J396"/>
      <c r="K396"/>
      <c r="L396"/>
      <c r="M396"/>
      <c r="N396">
        <v>93.1</v>
      </c>
      <c r="O396" t="inlineStr">
        <is>
          <t>pass</t>
        </is>
      </c>
      <c r="P396">
        <f>HYPERLINK("file:///Users/jingyizhang/Documents/Playground/projects/local_job_resume_pipeline/data/deliverables/resume_portfolio/by_company/lincare/2026-04-04/69d0ee14891d7b11cfce0d6b/resume.md","/Users/jingyizhang/Documents/Playground/projects/local_job_resume_pipeline/data/deliverables/resume_portfolio/by_company/lincare/2026-04-04/69d0ee14891d7b11cfce0d6b/resume.md")</f>
      </c>
      <c r="Q396"/>
      <c r="R396">
        <f>HYPERLINK("https://myjobs.adp.com/externallincarecareers/cx/job-details?reqId=5001149205306&amp;rb=LINKEDIN","https://myjobs.adp.com/externallincarecareers/cx/job-details?reqId=5001149205306&amp;rb=LINKEDIN")</f>
      </c>
    </row>
    <row r="397">
      <c r="A397" t="inlineStr">
        <is>
          <t>TikTok</t>
        </is>
      </c>
      <c r="B397" t="inlineStr">
        <is>
          <t>2026-04-04 05:52:14</t>
        </is>
      </c>
      <c r="C397" t="inlineStr">
        <is>
          <t>6924f47f38cd5478a8d6088f</t>
        </is>
      </c>
      <c r="D397" t="inlineStr">
        <is>
          <t>（General Hire）Machine Learning Engineer Graduate (E-Commerce)- 2026 Start (Phd)</t>
        </is>
      </c>
      <c r="E397" t="inlineStr">
        <is>
          <t>1_Discovered</t>
        </is>
      </c>
      <c r="F397" t="inlineStr">
        <is>
          <t>fanout_batch</t>
        </is>
      </c>
      <c r="G397" t="inlineStr">
        <is>
          <t>retarget</t>
        </is>
      </c>
      <c r="H397" t="inlineStr">
        <is>
          <t>seed_bytedance_ml_grad</t>
        </is>
      </c>
      <c r="I397" t="inlineStr">
        <is>
          <t>ByteDance ML Grad</t>
        </is>
      </c>
      <c r="J397"/>
      <c r="K397"/>
      <c r="L397"/>
      <c r="M397"/>
      <c r="N397">
        <v>94.0</v>
      </c>
      <c r="O397" t="inlineStr">
        <is>
          <t>pass</t>
        </is>
      </c>
      <c r="P397">
        <f>HYPERLINK("file:///Users/jingyizhang/Documents/Playground/projects/local_job_resume_pipeline/data/deliverables/resume_portfolio/by_company/tiktok/2026-04-04/6924f47f38cd5478a8d6088f/resume.md","/Users/jingyizhang/Documents/Playground/projects/local_job_resume_pipeline/data/deliverables/resume_portfolio/by_company/tiktok/2026-04-04/6924f47f38cd5478a8d6088f/resume.md")</f>
      </c>
      <c r="Q397"/>
      <c r="R397">
        <f>HYPERLINK("https://lifeattiktok.com/search/7516666201355962632?spread=5MWH5CQ","https://lifeattiktok.com/search/7516666201355962632?spread=5MWH5CQ")</f>
      </c>
    </row>
    <row r="398">
      <c r="A398" t="inlineStr">
        <is>
          <t>Medpace</t>
        </is>
      </c>
      <c r="B398" t="inlineStr">
        <is>
          <t>2026-04-04 05:51:16</t>
        </is>
      </c>
      <c r="C398" t="inlineStr">
        <is>
          <t>69604aaba1bbea1d9a7b2e09</t>
        </is>
      </c>
      <c r="D398" t="inlineStr">
        <is>
          <t>Software Engineer</t>
        </is>
      </c>
      <c r="E398" t="inlineStr">
        <is>
          <t>1_Discovered</t>
        </is>
      </c>
      <c r="F398" t="inlineStr">
        <is>
          <t>fanout_batch</t>
        </is>
      </c>
      <c r="G398" t="inlineStr">
        <is>
          <t>retarget</t>
        </is>
      </c>
      <c r="H398" t="inlineStr">
        <is>
          <t>seed_generalist_dotnet_enterprise</t>
        </is>
      </c>
      <c r="I398" t="inlineStr">
        <is>
          <t>Generalist DotNet Enterprise</t>
        </is>
      </c>
      <c r="J398"/>
      <c r="K398"/>
      <c r="L398"/>
      <c r="M398"/>
      <c r="N398">
        <v>94.6</v>
      </c>
      <c r="O398" t="inlineStr">
        <is>
          <t>pass</t>
        </is>
      </c>
      <c r="P398">
        <f>HYPERLINK("file:///Users/jingyizhang/Documents/Playground/projects/local_job_resume_pipeline/data/deliverables/resume_portfolio/by_company/medpace/2026-04-04/69604aaba1bbea1d9a7b2e09/resume.md","/Users/jingyizhang/Documents/Playground/projects/local_job_resume_pipeline/data/deliverables/resume_portfolio/by_company/medpace/2026-04-04/69604aaba1bbea1d9a7b2e09/resume.md")</f>
      </c>
      <c r="Q398"/>
      <c r="R398">
        <f>HYPERLINK("https://careers.medpace.com/jobs/12116?lang=en-us&amp;iis=Job%20Board&amp;iisn=LinkedIn","https://careers.medpace.com/jobs/12116?lang=en-us&amp;iis=Job%20Board&amp;iisn=LinkedIn")</f>
      </c>
    </row>
    <row r="399">
      <c r="A399" t="inlineStr">
        <is>
          <t>Origami Risk</t>
        </is>
      </c>
      <c r="B399" t="inlineStr">
        <is>
          <t>2026-04-04 05:51:10</t>
        </is>
      </c>
      <c r="C399" t="inlineStr">
        <is>
          <t>69b4ebc33b74eb1e2c8269c2</t>
        </is>
      </c>
      <c r="D399" t="inlineStr">
        <is>
          <t>(Senior) Corporate Data Analyst</t>
        </is>
      </c>
      <c r="E399" t="inlineStr">
        <is>
          <t>1_Discovered</t>
        </is>
      </c>
      <c r="F399" t="inlineStr">
        <is>
          <t>fanout_batch</t>
        </is>
      </c>
      <c r="G399" t="inlineStr">
        <is>
          <t>retarget</t>
        </is>
      </c>
      <c r="H399" t="inlineStr">
        <is>
          <t>seed_qualified_health_data_engineer</t>
        </is>
      </c>
      <c r="I399" t="inlineStr">
        <is>
          <t>Qualified Health Data Engineer</t>
        </is>
      </c>
      <c r="J399"/>
      <c r="K399"/>
      <c r="L399"/>
      <c r="M399"/>
      <c r="N399">
        <v>87.5</v>
      </c>
      <c r="O399" t="inlineStr">
        <is>
          <t>fail</t>
        </is>
      </c>
      <c r="P399">
        <f>HYPERLINK("file:///Users/jingyizhang/Documents/Playground/projects/local_job_resume_pipeline/data/deliverables/resume_portfolio/by_company/origami-risk/2026-04-04/69b4ebc33b74eb1e2c8269c2/resume.md","/Users/jingyizhang/Documents/Playground/projects/local_job_resume_pipeline/data/deliverables/resume_portfolio/by_company/origami-risk/2026-04-04/69b4ebc33b74eb1e2c8269c2/resume.md")</f>
      </c>
      <c r="Q399"/>
      <c r="R399">
        <f>HYPERLINK("https://careers-origamirisk.icims.com/jobs/4188/(senior)-corporate-data-analyst/job?in_iframe=1&amp;mode=apply&amp;iis=LinkedIn","https://careers-origamirisk.icims.com/jobs/4188/(senior)-corporate-data-analyst/job?in_iframe=1&amp;mode=apply&amp;iis=LinkedIn")</f>
      </c>
    </row>
    <row r="400">
      <c r="A400" t="inlineStr">
        <is>
          <t>Mercury Insurance</t>
        </is>
      </c>
      <c r="B400" t="inlineStr">
        <is>
          <t>2026-04-04 05:51:05</t>
        </is>
      </c>
      <c r="C400" t="inlineStr">
        <is>
          <t>697d6be43f57a33569675193</t>
        </is>
      </c>
      <c r="D400" t="inlineStr">
        <is>
          <t>Senior Software Engineer</t>
        </is>
      </c>
      <c r="E400" t="inlineStr">
        <is>
          <t>1_Discovered</t>
        </is>
      </c>
      <c r="F400" t="inlineStr">
        <is>
          <t>fanout_batch</t>
        </is>
      </c>
      <c r="G400" t="inlineStr">
        <is>
          <t>retarget</t>
        </is>
      </c>
      <c r="H400" t="inlineStr">
        <is>
          <t>seed_aws_generalist_embedded</t>
        </is>
      </c>
      <c r="I400" t="inlineStr">
        <is>
          <t>AWS Generalist Embedded</t>
        </is>
      </c>
      <c r="J400"/>
      <c r="K400"/>
      <c r="L400"/>
      <c r="M400"/>
      <c r="N400">
        <v>92.8</v>
      </c>
      <c r="O400" t="inlineStr">
        <is>
          <t>conditional_pass</t>
        </is>
      </c>
      <c r="P400">
        <f>HYPERLINK("file:///Users/jingyizhang/Documents/Playground/projects/local_job_resume_pipeline/data/deliverables/resume_portfolio/by_company/mercury-insurance/2026-04-04/697d6be43f57a33569675193/resume.md","/Users/jingyizhang/Documents/Playground/projects/local_job_resume_pipeline/data/deliverables/resume_portfolio/by_company/mercury-insurance/2026-04-04/697d6be43f57a33569675193/resume.md")</f>
      </c>
      <c r="Q400"/>
      <c r="R400">
        <f>HYPERLINK("https://careers-mercuryinsurance.icims.com/jobs/6142/senior-software-engineer/job?in_iframe=1&amp;mode=apply&amp;iis=LinkedIn&amp;iisn=LinkedIn","https://careers-mercuryinsurance.icims.com/jobs/6142/senior-software-engineer/job?in_iframe=1&amp;mode=apply&amp;iis=LinkedIn&amp;iisn=LinkedIn")</f>
      </c>
    </row>
    <row r="401">
      <c r="A401" t="inlineStr">
        <is>
          <t>Medpace</t>
        </is>
      </c>
      <c r="B401" t="inlineStr">
        <is>
          <t>2026-04-04 05:50:31</t>
        </is>
      </c>
      <c r="C401" t="inlineStr">
        <is>
          <t>6960462aa112b402660f13a3</t>
        </is>
      </c>
      <c r="D401" t="inlineStr">
        <is>
          <t>Junior Software Engineer</t>
        </is>
      </c>
      <c r="E401" t="inlineStr">
        <is>
          <t>1_Discovered</t>
        </is>
      </c>
      <c r="F401" t="inlineStr">
        <is>
          <t>fanout_batch</t>
        </is>
      </c>
      <c r="G401" t="inlineStr">
        <is>
          <t>retarget</t>
        </is>
      </c>
      <c r="H401" t="inlineStr">
        <is>
          <t>seed_generalist_dotnet_enterprise</t>
        </is>
      </c>
      <c r="I401" t="inlineStr">
        <is>
          <t>Generalist DotNet Enterprise</t>
        </is>
      </c>
      <c r="J401"/>
      <c r="K401"/>
      <c r="L401"/>
      <c r="M401"/>
      <c r="N401">
        <v>94.4</v>
      </c>
      <c r="O401" t="inlineStr">
        <is>
          <t>pass</t>
        </is>
      </c>
      <c r="P401">
        <f>HYPERLINK("file:///Users/jingyizhang/Documents/Playground/projects/local_job_resume_pipeline/data/deliverables/resume_portfolio/by_company/medpace/2026-04-04/6960462aa112b402660f13a3/resume.md","/Users/jingyizhang/Documents/Playground/projects/local_job_resume_pipeline/data/deliverables/resume_portfolio/by_company/medpace/2026-04-04/6960462aa112b402660f13a3/resume.md")</f>
      </c>
      <c r="Q401"/>
      <c r="R401">
        <f>HYPERLINK("https://careers.medpace.com/jobs/12120?lang=en-us&amp;iis=Job%20Board&amp;iisn=LinkedIn","https://careers.medpace.com/jobs/12120?lang=en-us&amp;iis=Job%20Board&amp;iisn=LinkedIn")</f>
      </c>
    </row>
    <row r="402">
      <c r="A402" t="inlineStr">
        <is>
          <t>StubHub</t>
        </is>
      </c>
      <c r="B402" t="inlineStr">
        <is>
          <t>2026-04-04 05:40:44</t>
        </is>
      </c>
      <c r="C402" t="inlineStr">
        <is>
          <t>69991e67ce78e77b4fddc635</t>
        </is>
      </c>
      <c r="D402" t="inlineStr">
        <is>
          <t>Software Engineer II - Fulfillment</t>
        </is>
      </c>
      <c r="E402" t="inlineStr">
        <is>
          <t>1_Discovered</t>
        </is>
      </c>
      <c r="F402" t="inlineStr">
        <is>
          <t>seed_validation</t>
        </is>
      </c>
      <c r="G402" t="inlineStr">
        <is>
          <t>retarget</t>
        </is>
      </c>
      <c r="H402" t="inlineStr">
        <is>
          <t>seed_fullstack_dotnet_azure</t>
        </is>
      </c>
      <c r="I402" t="inlineStr">
        <is>
          <t>Fullstack DotNet Azure</t>
        </is>
      </c>
      <c r="J402"/>
      <c r="K402"/>
      <c r="L402"/>
      <c r="M402"/>
      <c r="N402">
        <v>95.1</v>
      </c>
      <c r="O402" t="inlineStr">
        <is>
          <t>pass</t>
        </is>
      </c>
      <c r="P402">
        <f>HYPERLINK("file:///Users/jingyizhang/Documents/Playground/projects/local_job_resume_pipeline/data/deliverables/resume_portfolio/by_company/stubhub/2026-04-04/69991e67ce78e77b4fddc635/resume.md","/Users/jingyizhang/Documents/Playground/projects/local_job_resume_pipeline/data/deliverables/resume_portfolio/by_company/stubhub/2026-04-04/69991e67ce78e77b4fddc635/resume.md")</f>
      </c>
      <c r="Q402"/>
      <c r="R402">
        <f>HYPERLINK("https://boards.greenhouse.io/embed/job_app?token=4787593101&amp;utm_source=jobright","https://boards.greenhouse.io/embed/job_app?token=4787593101&amp;utm_source=jobright")</f>
      </c>
    </row>
    <row r="403">
      <c r="A403" t="inlineStr">
        <is>
          <t>Netflix</t>
        </is>
      </c>
      <c r="B403" t="inlineStr">
        <is>
          <t>2026-04-04 05:39:42</t>
        </is>
      </c>
      <c r="C403" t="inlineStr">
        <is>
          <t>69aee54a6b21de023e5ffcfa</t>
        </is>
      </c>
      <c r="D403" t="inlineStr">
        <is>
          <t>Research Scientist (L5) - Content Understanding</t>
        </is>
      </c>
      <c r="E403" t="inlineStr">
        <is>
          <t>1_Discovered</t>
        </is>
      </c>
      <c r="F403" t="inlineStr">
        <is>
          <t>seed_validation</t>
        </is>
      </c>
      <c r="G403" t="inlineStr">
        <is>
          <t>reuse</t>
        </is>
      </c>
      <c r="H403" t="inlineStr">
        <is>
          <t>seed_linkedin_mle_foundation</t>
        </is>
      </c>
      <c r="I403" t="inlineStr">
        <is>
          <t>LinkedIn MLE Foundation</t>
        </is>
      </c>
      <c r="J403"/>
      <c r="K403"/>
      <c r="L403"/>
      <c r="M403"/>
      <c r="N403"/>
      <c r="O403"/>
      <c r="P403"/>
      <c r="Q403"/>
      <c r="R403">
        <f>HYPERLINK("https://explore.jobs.netflix.net/careers/job/790313309375?microsite=netflix.com&amp;utm_source=LinkedIn&amp;domain=netflix.com","https://explore.jobs.netflix.net/careers/job/790313309375?microsite=netflix.com&amp;utm_source=LinkedIn&amp;domain=netflix.com")</f>
      </c>
    </row>
    <row r="404">
      <c r="A404" t="inlineStr">
        <is>
          <t>PayPal</t>
        </is>
      </c>
      <c r="B404" t="inlineStr">
        <is>
          <t>2026-04-04 05:38:29</t>
        </is>
      </c>
      <c r="C404" t="inlineStr">
        <is>
          <t>6998f90d81476f6176b1675a</t>
        </is>
      </c>
      <c r="D404" t="inlineStr">
        <is>
          <t>Software Engineer - Java</t>
        </is>
      </c>
      <c r="E404" t="inlineStr">
        <is>
          <t>1_Discovered</t>
        </is>
      </c>
      <c r="F404" t="inlineStr">
        <is>
          <t>fanout_batch</t>
        </is>
      </c>
      <c r="G404" t="inlineStr">
        <is>
          <t>reuse</t>
        </is>
      </c>
      <c r="H404" t="inlineStr">
        <is>
          <t>seed_paypal_java_backend</t>
        </is>
      </c>
      <c r="I404" t="inlineStr">
        <is>
          <t>PayPal Java Backend</t>
        </is>
      </c>
      <c r="J404"/>
      <c r="K404"/>
      <c r="L404"/>
      <c r="M404"/>
      <c r="N404"/>
      <c r="O404"/>
      <c r="P404"/>
      <c r="Q404"/>
      <c r="R404">
        <f>HYPERLINK("https://paypal.eightfold.ai/careers?domain=paypal.com&amp;sort_by=relevance&amp;query=R0133240&amp;Codes=W-LINKEDIN","https://paypal.eightfold.ai/careers?domain=paypal.com&amp;sort_by=relevance&amp;query=R0133240&amp;Codes=W-LINKEDIN")</f>
      </c>
    </row>
    <row r="405">
      <c r="A405" t="inlineStr">
        <is>
          <t>Mercury Insurance</t>
        </is>
      </c>
      <c r="B405" t="inlineStr">
        <is>
          <t>2026-04-04 05:26:26</t>
        </is>
      </c>
      <c r="C405" t="inlineStr">
        <is>
          <t>69743267206da320f49e535a</t>
        </is>
      </c>
      <c r="D405" t="inlineStr">
        <is>
          <t>Senior Software Engineer(Guidewire)</t>
        </is>
      </c>
      <c r="E405" t="inlineStr">
        <is>
          <t>1_Discovered</t>
        </is>
      </c>
      <c r="F405" t="inlineStr">
        <is>
          <t>fanout_batch</t>
        </is>
      </c>
      <c r="G405" t="inlineStr">
        <is>
          <t>retarget</t>
        </is>
      </c>
      <c r="H405" t="inlineStr">
        <is>
          <t>seed_cisco_backend_api</t>
        </is>
      </c>
      <c r="I405" t="inlineStr">
        <is>
          <t>Cisco Backend API</t>
        </is>
      </c>
      <c r="J405"/>
      <c r="K405"/>
      <c r="L405"/>
      <c r="M405"/>
      <c r="N405">
        <v>94.6</v>
      </c>
      <c r="O405" t="inlineStr">
        <is>
          <t>pass</t>
        </is>
      </c>
      <c r="P405">
        <f>HYPERLINK("file:///Users/jingyizhang/Documents/Playground/projects/local_job_resume_pipeline/data/deliverables/resume_portfolio/by_company/mercury-insurance/2026-04-04/69743267206da320f49e535a/resume.md","/Users/jingyizhang/Documents/Playground/projects/local_job_resume_pipeline/data/deliverables/resume_portfolio/by_company/mercury-insurance/2026-04-04/69743267206da320f49e535a/resume.md")</f>
      </c>
      <c r="Q405"/>
      <c r="R405">
        <f>HYPERLINK("https://careers-mercuryinsurance.icims.com/jobs/6087/senior-software-engineer(guidewire)/job?in_iframe=1&amp;mode=apply&amp;iis=LinkedIn&amp;iisn=LinkedIn","https://careers-mercuryinsurance.icims.com/jobs/6087/senior-software-engineer(guidewire)/job?in_iframe=1&amp;mode=apply&amp;iis=LinkedIn&amp;iisn=LinkedIn")</f>
      </c>
    </row>
    <row r="406">
      <c r="A406" t="inlineStr">
        <is>
          <t>PayPal</t>
        </is>
      </c>
      <c r="B406" t="inlineStr">
        <is>
          <t>2026-04-04 05:17:05</t>
        </is>
      </c>
      <c r="C406" t="inlineStr">
        <is>
          <t>6998f6e581476f6176b163b2</t>
        </is>
      </c>
      <c r="D406" t="inlineStr">
        <is>
          <t>Sr Software Engineer</t>
        </is>
      </c>
      <c r="E406" t="inlineStr">
        <is>
          <t>1_Discovered</t>
        </is>
      </c>
      <c r="F406" t="inlineStr">
        <is>
          <t>fanout_batch</t>
        </is>
      </c>
      <c r="G406" t="inlineStr">
        <is>
          <t>retarget</t>
        </is>
      </c>
      <c r="H406" t="inlineStr">
        <is>
          <t>seed_paypal_java_backend</t>
        </is>
      </c>
      <c r="I406" t="inlineStr">
        <is>
          <t>PayPal Java Backend</t>
        </is>
      </c>
      <c r="J406"/>
      <c r="K406"/>
      <c r="L406"/>
      <c r="M406"/>
      <c r="N406">
        <v>93.1</v>
      </c>
      <c r="O406" t="inlineStr">
        <is>
          <t>pass</t>
        </is>
      </c>
      <c r="P406">
        <f>HYPERLINK("file:///Users/jingyizhang/Documents/Playground/projects/local_job_resume_pipeline/data/deliverables/resume_portfolio/by_company/paypal/2026-04-04/6998f6e581476f6176b163b2/resume.md","/Users/jingyizhang/Documents/Playground/projects/local_job_resume_pipeline/data/deliverables/resume_portfolio/by_company/paypal/2026-04-04/6998f6e581476f6176b163b2/resume.md")</f>
      </c>
      <c r="Q406"/>
      <c r="R406">
        <f>HYPERLINK("https://paypal.eightfold.ai/careers?domain=paypal.com&amp;sort_by=relevance&amp;query=R0134151&amp;Codes=W-LINKEDIN","https://paypal.eightfold.ai/careers?domain=paypal.com&amp;sort_by=relevance&amp;query=R0134151&amp;Codes=W-LINKEDIN")</f>
      </c>
    </row>
    <row r="407">
      <c r="A407" t="inlineStr">
        <is>
          <t>DoorDash</t>
        </is>
      </c>
      <c r="B407" t="inlineStr">
        <is>
          <t>2026-04-04 05:17:04</t>
        </is>
      </c>
      <c r="C407" t="inlineStr">
        <is>
          <t>69339a06764507023d1b73e2</t>
        </is>
      </c>
      <c r="D407" t="inlineStr">
        <is>
          <t>Analytics Engineer, GTM Data Infrastructure</t>
        </is>
      </c>
      <c r="E407" t="inlineStr">
        <is>
          <t>1_Discovered</t>
        </is>
      </c>
      <c r="F407" t="inlineStr">
        <is>
          <t>fanout_batch</t>
        </is>
      </c>
      <c r="G407" t="inlineStr">
        <is>
          <t>reuse</t>
        </is>
      </c>
      <c r="H407" t="inlineStr">
        <is>
          <t>seed_jpmc_data_mlops_anchor</t>
        </is>
      </c>
      <c r="I407" t="inlineStr">
        <is>
          <t>JPMorganChase Data Platform/MLOps Anchor</t>
        </is>
      </c>
      <c r="J407" t="inlineStr">
        <is>
          <t>jpmc_data_mlops_mainline</t>
        </is>
      </c>
      <c r="K407" t="inlineStr">
        <is>
          <t>mainline</t>
        </is>
      </c>
      <c r="L407"/>
      <c r="M407"/>
      <c r="N407"/>
      <c r="O407"/>
      <c r="P407"/>
      <c r="Q407"/>
      <c r="R407">
        <f>HYPERLINK("https://boards.greenhouse.io/embed/job_app?token=7450028&amp;utm_source=jobright","https://boards.greenhouse.io/embed/job_app?token=7450028&amp;utm_source=jobright")</f>
      </c>
    </row>
    <row r="408">
      <c r="A408" t="inlineStr">
        <is>
          <t>PayPal</t>
        </is>
      </c>
      <c r="B408" t="inlineStr">
        <is>
          <t>2026-04-04 05:17:03</t>
        </is>
      </c>
      <c r="C408" t="inlineStr">
        <is>
          <t>6998fa1c81476f6176b1692e</t>
        </is>
      </c>
      <c r="D408" t="inlineStr">
        <is>
          <t>Sr Software Engineer, BE Python</t>
        </is>
      </c>
      <c r="E408" t="inlineStr">
        <is>
          <t>1_Discovered</t>
        </is>
      </c>
      <c r="F408" t="inlineStr">
        <is>
          <t>fanout_batch</t>
        </is>
      </c>
      <c r="G408" t="inlineStr">
        <is>
          <t>retarget</t>
        </is>
      </c>
      <c r="H408" t="inlineStr">
        <is>
          <t>seed_paypal_java_backend</t>
        </is>
      </c>
      <c r="I408" t="inlineStr">
        <is>
          <t>PayPal Java Backend</t>
        </is>
      </c>
      <c r="J408"/>
      <c r="K408"/>
      <c r="L408"/>
      <c r="M408"/>
      <c r="N408">
        <v>94.0</v>
      </c>
      <c r="O408" t="inlineStr">
        <is>
          <t>pass</t>
        </is>
      </c>
      <c r="P408">
        <f>HYPERLINK("file:///Users/jingyizhang/Documents/Playground/projects/local_job_resume_pipeline/data/deliverables/resume_portfolio/by_company/paypal/2026-04-04/6998fa1c81476f6176b1692e/resume.md","/Users/jingyizhang/Documents/Playground/projects/local_job_resume_pipeline/data/deliverables/resume_portfolio/by_company/paypal/2026-04-04/6998fa1c81476f6176b1692e/resume.md")</f>
      </c>
      <c r="Q408"/>
      <c r="R408">
        <f>HYPERLINK("https://paypal.eightfold.ai/careers?domain=paypal.com&amp;sort_by=relevance&amp;query=R0134355&amp;Codes=W-LINKEDIN","https://paypal.eightfold.ai/careers?domain=paypal.com&amp;sort_by=relevance&amp;query=R0134355&amp;Codes=W-LINKEDIN")</f>
      </c>
    </row>
    <row r="409">
      <c r="A409" t="inlineStr">
        <is>
          <t>AMD</t>
        </is>
      </c>
      <c r="B409" t="inlineStr">
        <is>
          <t>2026-04-04 05:16:51</t>
        </is>
      </c>
      <c r="C409" t="inlineStr">
        <is>
          <t>69a272150da45516f16bbcf8</t>
        </is>
      </c>
      <c r="D409" t="inlineStr">
        <is>
          <t>CPU Core Data Analytics Engineer</t>
        </is>
      </c>
      <c r="E409" t="inlineStr">
        <is>
          <t>1_Discovered</t>
        </is>
      </c>
      <c r="F409" t="inlineStr">
        <is>
          <t>fanout_batch</t>
        </is>
      </c>
      <c r="G409" t="inlineStr">
        <is>
          <t>reuse</t>
        </is>
      </c>
      <c r="H409" t="inlineStr">
        <is>
          <t>seed_jpmc_data_mlops_anchor</t>
        </is>
      </c>
      <c r="I409" t="inlineStr">
        <is>
          <t>JPMorganChase Data Platform/MLOps Anchor</t>
        </is>
      </c>
      <c r="J409" t="inlineStr">
        <is>
          <t>jpmc_data_mlops_mainline</t>
        </is>
      </c>
      <c r="K409" t="inlineStr">
        <is>
          <t>mainline</t>
        </is>
      </c>
      <c r="L409"/>
      <c r="M409"/>
      <c r="N409"/>
      <c r="O409"/>
      <c r="P409"/>
      <c r="Q409"/>
      <c r="R409">
        <f>HYPERLINK("https://careers.amd.com/jobs/72992?lang=en-us&amp;iis=Job+Board&amp;iisn=Linkedin","https://careers.amd.com/jobs/72992?lang=en-us&amp;iis=Job+Board&amp;iisn=Linkedin")</f>
      </c>
    </row>
    <row r="410">
      <c r="A410" t="inlineStr">
        <is>
          <t>DoorDash</t>
        </is>
      </c>
      <c r="B410" t="inlineStr">
        <is>
          <t>2026-04-04 05:16:50</t>
        </is>
      </c>
      <c r="C410" t="inlineStr">
        <is>
          <t>689b06a679a9f9666252eda6</t>
        </is>
      </c>
      <c r="D410" t="inlineStr">
        <is>
          <t>Application Engineer - GTMT</t>
        </is>
      </c>
      <c r="E410" t="inlineStr">
        <is>
          <t>1_Discovered</t>
        </is>
      </c>
      <c r="F410" t="inlineStr">
        <is>
          <t>fanout_batch</t>
        </is>
      </c>
      <c r="G410" t="inlineStr">
        <is>
          <t>reuse</t>
        </is>
      </c>
      <c r="H410" t="inlineStr">
        <is>
          <t>seed_cisco_backend_api</t>
        </is>
      </c>
      <c r="I410" t="inlineStr">
        <is>
          <t>Cisco Backend API</t>
        </is>
      </c>
      <c r="J410"/>
      <c r="K410"/>
      <c r="L410"/>
      <c r="M410"/>
      <c r="N410"/>
      <c r="O410"/>
      <c r="P410"/>
      <c r="Q410"/>
      <c r="R410">
        <f>HYPERLINK("https://boards.greenhouse.io/embed/job_app?token=6650287&amp;utm_source=jobright","https://boards.greenhouse.io/embed/job_app?token=6650287&amp;utm_source=jobright")</f>
      </c>
    </row>
    <row r="411">
      <c r="A411" t="inlineStr">
        <is>
          <t>DoorDash</t>
        </is>
      </c>
      <c r="B411" t="inlineStr">
        <is>
          <t>2026-04-04 05:16:39</t>
        </is>
      </c>
      <c r="C411" t="inlineStr">
        <is>
          <t>69421757bdcf884a5addd875</t>
        </is>
      </c>
      <c r="D411" t="inlineStr">
        <is>
          <t>Analytics Engineer</t>
        </is>
      </c>
      <c r="E411" t="inlineStr">
        <is>
          <t>1_Discovered</t>
        </is>
      </c>
      <c r="F411" t="inlineStr">
        <is>
          <t>fanout_batch</t>
        </is>
      </c>
      <c r="G411" t="inlineStr">
        <is>
          <t>reuse</t>
        </is>
      </c>
      <c r="H411" t="inlineStr">
        <is>
          <t>seed_qualified_health_data_engineer</t>
        </is>
      </c>
      <c r="I411" t="inlineStr">
        <is>
          <t>Qualified Health Data Engineer</t>
        </is>
      </c>
      <c r="J411"/>
      <c r="K411"/>
      <c r="L411"/>
      <c r="M411"/>
      <c r="N411"/>
      <c r="O411"/>
      <c r="P411"/>
      <c r="Q411"/>
      <c r="R411">
        <f>HYPERLINK("https://boards.greenhouse.io/embed/job_app?token=7028089&amp;utm_source=jobright","https://boards.greenhouse.io/embed/job_app?token=7028089&amp;utm_source=jobright")</f>
      </c>
    </row>
    <row r="412">
      <c r="A412" t="inlineStr">
        <is>
          <t>Mercury Insurance</t>
        </is>
      </c>
      <c r="B412" t="inlineStr">
        <is>
          <t>2026-04-04 05:16:36</t>
        </is>
      </c>
      <c r="C412" t="inlineStr">
        <is>
          <t>69b6438d56973837413b8622</t>
        </is>
      </c>
      <c r="D412" t="inlineStr">
        <is>
          <t>Senior Software Engineer</t>
        </is>
      </c>
      <c r="E412" t="inlineStr">
        <is>
          <t>1_Discovered</t>
        </is>
      </c>
      <c r="F412" t="inlineStr">
        <is>
          <t>fanout_batch</t>
        </is>
      </c>
      <c r="G412" t="inlineStr">
        <is>
          <t>retarget</t>
        </is>
      </c>
      <c r="H412" t="inlineStr">
        <is>
          <t>seed_microsoft_polyglot_generalist</t>
        </is>
      </c>
      <c r="I412" t="inlineStr">
        <is>
          <t>Microsoft Polyglot Generalist</t>
        </is>
      </c>
      <c r="J412"/>
      <c r="K412"/>
      <c r="L412"/>
      <c r="M412"/>
      <c r="N412">
        <v>94.2</v>
      </c>
      <c r="O412" t="inlineStr">
        <is>
          <t>pass</t>
        </is>
      </c>
      <c r="P412">
        <f>HYPERLINK("file:///Users/jingyizhang/Documents/Playground/projects/local_job_resume_pipeline/data/deliverables/resume_portfolio/by_company/mercury-insurance/2026-04-04/69b6438d56973837413b8622/resume.md","/Users/jingyizhang/Documents/Playground/projects/local_job_resume_pipeline/data/deliverables/resume_portfolio/by_company/mercury-insurance/2026-04-04/69b6438d56973837413b8622/resume.md")</f>
      </c>
      <c r="Q412"/>
      <c r="R412">
        <f>HYPERLINK("https://careers-mercuryinsurance.icims.com/jobs/5778/senior-software-engineer/job?in_iframe=1&amp;mode=apply&amp;iis=LinkedIn&amp;iisn=LinkedIn","https://careers-mercuryinsurance.icims.com/jobs/5778/senior-software-engineer/job?in_iframe=1&amp;mode=apply&amp;iis=LinkedIn&amp;iisn=LinkedIn")</f>
      </c>
    </row>
    <row r="413">
      <c r="A413" t="inlineStr">
        <is>
          <t>84.51˚</t>
        </is>
      </c>
      <c r="B413" t="inlineStr">
        <is>
          <t>2026-04-04 05:05:16</t>
        </is>
      </c>
      <c r="C413" t="inlineStr">
        <is>
          <t>69b4c322569738374139b2e1</t>
        </is>
      </c>
      <c r="D413" t="inlineStr">
        <is>
          <t>Senior AI/ML Engineer - Research (P4368)</t>
        </is>
      </c>
      <c r="E413" t="inlineStr">
        <is>
          <t>1_Discovered</t>
        </is>
      </c>
      <c r="F413" t="inlineStr">
        <is>
          <t>fanout_batch</t>
        </is>
      </c>
      <c r="G413" t="inlineStr">
        <is>
          <t>retarget</t>
        </is>
      </c>
      <c r="H413" t="inlineStr">
        <is>
          <t>seed_h2o_ai_engineer</t>
        </is>
      </c>
      <c r="I413" t="inlineStr">
        <is>
          <t>H2O AI Engineer</t>
        </is>
      </c>
      <c r="J413"/>
      <c r="K413"/>
      <c r="L413"/>
      <c r="M413"/>
      <c r="N413">
        <v>94.4</v>
      </c>
      <c r="O413" t="inlineStr">
        <is>
          <t>pass</t>
        </is>
      </c>
      <c r="P413">
        <f>HYPERLINK("file:///Users/jingyizhang/Documents/Playground/projects/local_job_resume_pipeline/data/deliverables/resume_portfolio/by_company/84-51/2026-04-04/69b4c322569738374139b2e1/resume.md","/Users/jingyizhang/Documents/Playground/projects/local_job_resume_pipeline/data/deliverables/resume_portfolio/by_company/84-51/2026-04-04/69b4c322569738374139b2e1/resume.md")</f>
      </c>
      <c r="Q413"/>
      <c r="R413">
        <f>HYPERLINK("https://boards.greenhouse.io/embed/job_app?token=8462890002&amp;utm_source=jobright","https://boards.greenhouse.io/embed/job_app?token=8462890002&amp;utm_source=jobright")</f>
      </c>
    </row>
    <row r="414">
      <c r="A414" t="inlineStr">
        <is>
          <t>JPMorganChase</t>
        </is>
      </c>
      <c r="B414" t="inlineStr">
        <is>
          <t>2026-04-04 05:05:11</t>
        </is>
      </c>
      <c r="C414" t="inlineStr">
        <is>
          <t>69bf74dd7798f73e35e44625</t>
        </is>
      </c>
      <c r="D414" t="inlineStr">
        <is>
          <t>Software Engineer III - Full Stack Generative AI/LLM</t>
        </is>
      </c>
      <c r="E414" t="inlineStr">
        <is>
          <t>1_Discovered</t>
        </is>
      </c>
      <c r="F414" t="inlineStr">
        <is>
          <t>fanout_batch</t>
        </is>
      </c>
      <c r="G414" t="inlineStr">
        <is>
          <t>retarget</t>
        </is>
      </c>
      <c r="H414" t="inlineStr">
        <is>
          <t>seed_zip_backend_web</t>
        </is>
      </c>
      <c r="I414" t="inlineStr">
        <is>
          <t>Zip Backend Web</t>
        </is>
      </c>
      <c r="J414"/>
      <c r="K414"/>
      <c r="L414"/>
      <c r="M414"/>
      <c r="N414">
        <v>91.2</v>
      </c>
      <c r="O414" t="inlineStr">
        <is>
          <t>conditional_pass</t>
        </is>
      </c>
      <c r="P414">
        <f>HYPERLINK("file:///Users/jingyizhang/Documents/Playground/projects/local_job_resume_pipeline/data/deliverables/resume_portfolio/by_company/jpmorganchase/2026-04-04/69bf74dd7798f73e35e44625/resume.md","/Users/jingyizhang/Documents/Playground/projects/local_job_resume_pipeline/data/deliverables/resume_portfolio/by_company/jpmorganchase/2026-04-04/69bf74dd7798f73e35e44625/resume.md")</f>
      </c>
      <c r="Q414"/>
      <c r="R414">
        <f>HYPERLINK("https://JPMorganChase.contacthr.com/151435803","https://JPMorganChase.contacthr.com/151435803")</f>
      </c>
    </row>
    <row r="415">
      <c r="A415" t="inlineStr">
        <is>
          <t>PayPal</t>
        </is>
      </c>
      <c r="B415" t="inlineStr">
        <is>
          <t>2026-04-04 05:04:32</t>
        </is>
      </c>
      <c r="C415" t="inlineStr">
        <is>
          <t>69b4786906c1ba00c545e93c</t>
        </is>
      </c>
      <c r="D415" t="inlineStr">
        <is>
          <t>Sr Software Engineer</t>
        </is>
      </c>
      <c r="E415" t="inlineStr">
        <is>
          <t>1_Discovered</t>
        </is>
      </c>
      <c r="F415" t="inlineStr">
        <is>
          <t>fanout_batch</t>
        </is>
      </c>
      <c r="G415" t="inlineStr">
        <is>
          <t>reuse</t>
        </is>
      </c>
      <c r="H415" t="inlineStr">
        <is>
          <t>seed_paypal_java_backend</t>
        </is>
      </c>
      <c r="I415" t="inlineStr">
        <is>
          <t>PayPal Java Backend</t>
        </is>
      </c>
      <c r="J415"/>
      <c r="K415"/>
      <c r="L415"/>
      <c r="M415"/>
      <c r="N415"/>
      <c r="O415"/>
      <c r="P415"/>
      <c r="Q415"/>
      <c r="R415">
        <f>HYPERLINK("https://paypal.eightfold.ai/careers?domain=paypal.com&amp;sort_by=relevance&amp;query=R0134324&amp;Codes=W-LINKEDIN","https://paypal.eightfold.ai/careers?domain=paypal.com&amp;sort_by=relevance&amp;query=R0134324&amp;Codes=W-LINKEDIN")</f>
      </c>
    </row>
    <row r="416">
      <c r="A416" t="inlineStr">
        <is>
          <t>PayPal</t>
        </is>
      </c>
      <c r="B416" t="inlineStr">
        <is>
          <t>2026-04-04 05:04:28</t>
        </is>
      </c>
      <c r="C416" t="inlineStr">
        <is>
          <t>69b425f806c1ba00c5455d5f</t>
        </is>
      </c>
      <c r="D416" t="inlineStr">
        <is>
          <t>Sr Software Engineer - Fullstack Python/Django &amp; React</t>
        </is>
      </c>
      <c r="E416" t="inlineStr">
        <is>
          <t>1_Discovered</t>
        </is>
      </c>
      <c r="F416" t="inlineStr">
        <is>
          <t>seed_validation</t>
        </is>
      </c>
      <c r="G416" t="inlineStr">
        <is>
          <t>reuse</t>
        </is>
      </c>
      <c r="H416" t="inlineStr">
        <is>
          <t>seed_fullstack_dotnet_azure</t>
        </is>
      </c>
      <c r="I416" t="inlineStr">
        <is>
          <t>Fullstack DotNet Azure</t>
        </is>
      </c>
      <c r="J416"/>
      <c r="K416"/>
      <c r="L416"/>
      <c r="M416"/>
      <c r="N416"/>
      <c r="O416"/>
      <c r="P416"/>
      <c r="Q416"/>
      <c r="R416">
        <f>HYPERLINK("https://paypal.eightfold.ai/careers?domain=paypal.com&amp;sort_by=relevance&amp;query=R0135267&amp;Codes=W-LINKEDIN","https://paypal.eightfold.ai/careers?domain=paypal.com&amp;sort_by=relevance&amp;query=R0135267&amp;Codes=W-LINKEDIN")</f>
      </c>
    </row>
    <row r="417">
      <c r="A417" t="inlineStr">
        <is>
          <t>Adobe</t>
        </is>
      </c>
      <c r="B417" t="inlineStr">
        <is>
          <t>2026-04-04 04:43:03</t>
        </is>
      </c>
      <c r="C417" t="inlineStr">
        <is>
          <t>69b3e5423b74eb1e2c80eb10</t>
        </is>
      </c>
      <c r="D417" t="inlineStr">
        <is>
          <t>Data Scientist</t>
        </is>
      </c>
      <c r="E417" t="inlineStr">
        <is>
          <t>1_Discovered</t>
        </is>
      </c>
      <c r="F417" t="inlineStr">
        <is>
          <t>fanout_batch</t>
        </is>
      </c>
      <c r="G417" t="inlineStr">
        <is>
          <t>reuse</t>
        </is>
      </c>
      <c r="H417" t="inlineStr">
        <is>
          <t>seed_plaid_data_scientist</t>
        </is>
      </c>
      <c r="I417" t="inlineStr">
        <is>
          <t>Plaid Data Scientist</t>
        </is>
      </c>
      <c r="J417"/>
      <c r="K417"/>
      <c r="L417"/>
      <c r="M417"/>
      <c r="N417"/>
      <c r="O417"/>
      <c r="P417"/>
      <c r="Q417"/>
      <c r="R417">
        <f>HYPERLINK("https://careers.adobe.com/us/en/job/ADOBUSR165959EXTERNALENUS/Data-Scientist?utm_source=linkedin&amp;utm_medium=phenom-feeds&amp;source=LinkedIn","https://careers.adobe.com/us/en/job/ADOBUSR165959EXTERNALENUS/Data-Scientist?utm_source=linkedin&amp;utm_medium=phenom-feeds&amp;source=LinkedIn")</f>
      </c>
    </row>
    <row r="418">
      <c r="A418" t="inlineStr">
        <is>
          <t>Nelnet</t>
        </is>
      </c>
      <c r="B418" t="inlineStr">
        <is>
          <t>2026-04-04 04:42:14</t>
        </is>
      </c>
      <c r="C418" t="inlineStr">
        <is>
          <t>69965483ce78e77b4fda5856</t>
        </is>
      </c>
      <c r="D418" t="inlineStr">
        <is>
          <t>Software Engineer - Java Backend</t>
        </is>
      </c>
      <c r="E418" t="inlineStr">
        <is>
          <t>1_Discovered</t>
        </is>
      </c>
      <c r="F418" t="inlineStr">
        <is>
          <t>fanout_batch</t>
        </is>
      </c>
      <c r="G418" t="inlineStr">
        <is>
          <t>retarget</t>
        </is>
      </c>
      <c r="H418" t="inlineStr">
        <is>
          <t>seed_paypal_java_backend</t>
        </is>
      </c>
      <c r="I418" t="inlineStr">
        <is>
          <t>PayPal Java Backend</t>
        </is>
      </c>
      <c r="J418"/>
      <c r="K418"/>
      <c r="L418"/>
      <c r="M418"/>
      <c r="N418">
        <v>88.4</v>
      </c>
      <c r="O418" t="inlineStr">
        <is>
          <t>conditional_pass</t>
        </is>
      </c>
      <c r="P418">
        <f>HYPERLINK("file:///Users/jingyizhang/Documents/Playground/projects/local_job_resume_pipeline/data/deliverables/resume_portfolio/by_company/nelnet/2026-04-04/69965483ce78e77b4fda5856/resume.md","/Users/jingyizhang/Documents/Playground/projects/local_job_resume_pipeline/data/deliverables/resume_portfolio/by_company/nelnet/2026-04-04/69965483ce78e77b4fda5856/resume.md")</f>
      </c>
      <c r="Q418"/>
      <c r="R418">
        <f>HYPERLINK("https://nelnet.wd1.myworkdayjobs.com/MyNelnet/job/Lincoln-NE/Software-Engineer---Java-Backend_R22338?source=LinkedIn","https://nelnet.wd1.myworkdayjobs.com/MyNelnet/job/Lincoln-NE/Software-Engineer---Java-Backend_R22338?source=LinkedIn")</f>
      </c>
    </row>
    <row r="419">
      <c r="A419" t="inlineStr">
        <is>
          <t>Adobe</t>
        </is>
      </c>
      <c r="B419" t="inlineStr">
        <is>
          <t>2026-04-04 04:39:04</t>
        </is>
      </c>
      <c r="C419" t="inlineStr">
        <is>
          <t>6961d3e4f3f4cd132506d312</t>
        </is>
      </c>
      <c r="D419" t="inlineStr">
        <is>
          <t>Software Development Engineer -  Customer Data Platform</t>
        </is>
      </c>
      <c r="E419" t="inlineStr">
        <is>
          <t>1_Discovered</t>
        </is>
      </c>
      <c r="F419" t="inlineStr">
        <is>
          <t>fanout_batch</t>
        </is>
      </c>
      <c r="G419" t="inlineStr">
        <is>
          <t>retarget</t>
        </is>
      </c>
      <c r="H419" t="inlineStr">
        <is>
          <t>seed_paypal_java_backend</t>
        </is>
      </c>
      <c r="I419" t="inlineStr">
        <is>
          <t>PayPal Java Backend</t>
        </is>
      </c>
      <c r="J419"/>
      <c r="K419"/>
      <c r="L419"/>
      <c r="M419"/>
      <c r="N419">
        <v>93.2</v>
      </c>
      <c r="O419" t="inlineStr">
        <is>
          <t>pass</t>
        </is>
      </c>
      <c r="P419">
        <f>HYPERLINK("file:///Users/jingyizhang/Documents/Playground/projects/local_job_resume_pipeline/data/deliverables/resume_portfolio/by_company/adobe/2026-04-04/6961d3e4f3f4cd132506d312/resume.md","/Users/jingyizhang/Documents/Playground/projects/local_job_resume_pipeline/data/deliverables/resume_portfolio/by_company/adobe/2026-04-04/6961d3e4f3f4cd132506d312/resume.md")</f>
      </c>
      <c r="Q419"/>
      <c r="R419">
        <f>HYPERLINK("https://careers.adobe.com/us/en/job/ADOBUSR161061EXTERNALENUS/Software-Development-Engineer-Customer-Data-Platform?utm_source=linkedin&amp;utm_medium=phenom-feeds&amp;source=LinkedIn","https://careers.adobe.com/us/en/job/ADOBUSR161061EXTERNALENUS/Software-Development-Engineer-Customer-Data-Platform?utm_source=linkedin&amp;utm_medium=phenom-feeds&amp;source=LinkedIn")</f>
      </c>
    </row>
    <row r="420">
      <c r="A420" t="inlineStr">
        <is>
          <t>Adobe</t>
        </is>
      </c>
      <c r="B420" t="inlineStr">
        <is>
          <t>2026-04-04 04:26:37</t>
        </is>
      </c>
      <c r="C420" t="inlineStr">
        <is>
          <t>69b3e4a006c1ba00c5450b57</t>
        </is>
      </c>
      <c r="D420" t="inlineStr">
        <is>
          <t>Software Development Engineer</t>
        </is>
      </c>
      <c r="E420" t="inlineStr">
        <is>
          <t>1_Discovered</t>
        </is>
      </c>
      <c r="F420" t="inlineStr">
        <is>
          <t>fanout_batch</t>
        </is>
      </c>
      <c r="G420" t="inlineStr">
        <is>
          <t>retarget</t>
        </is>
      </c>
      <c r="H420" t="inlineStr">
        <is>
          <t>seed_fullstack_dotnet_azure</t>
        </is>
      </c>
      <c r="I420" t="inlineStr">
        <is>
          <t>Fullstack DotNet Azure</t>
        </is>
      </c>
      <c r="J420"/>
      <c r="K420"/>
      <c r="L420"/>
      <c r="M420"/>
      <c r="N420">
        <v>95.1</v>
      </c>
      <c r="O420" t="inlineStr">
        <is>
          <t>pass</t>
        </is>
      </c>
      <c r="P420">
        <f>HYPERLINK("file:///Users/jingyizhang/Documents/Playground/projects/local_job_resume_pipeline/data/deliverables/resume_portfolio/by_company/adobe/2026-04-04/69b3e4a006c1ba00c5450b57/resume.md","/Users/jingyizhang/Documents/Playground/projects/local_job_resume_pipeline/data/deliverables/resume_portfolio/by_company/adobe/2026-04-04/69b3e4a006c1ba00c5450b57/resume.md")</f>
      </c>
      <c r="Q420"/>
      <c r="R420">
        <f>HYPERLINK("https://careers.adobe.com/us/en/job/ADOBUSR165849EXTERNALENUS/Software-Development-Engineer?utm_source=linkedin&amp;utm_medium=phenom-feeds&amp;source=LinkedIn","https://careers.adobe.com/us/en/job/ADOBUSR165849EXTERNALENUS/Software-Development-Engineer?utm_source=linkedin&amp;utm_medium=phenom-feeds&amp;source=LinkedIn")</f>
      </c>
    </row>
    <row r="421">
      <c r="A421" t="inlineStr">
        <is>
          <t>Merge</t>
        </is>
      </c>
      <c r="B421" t="inlineStr">
        <is>
          <t>2026-04-04 01:32:17</t>
        </is>
      </c>
      <c r="C421" t="inlineStr">
        <is>
          <t>6897b6ee8c6d6b4426791056</t>
        </is>
      </c>
      <c r="D421" t="inlineStr">
        <is>
          <t>Software Engineer</t>
        </is>
      </c>
      <c r="E421" t="inlineStr">
        <is>
          <t>1_Discovered</t>
        </is>
      </c>
      <c r="F421" t="inlineStr">
        <is>
          <t>fanout_batch</t>
        </is>
      </c>
      <c r="G421" t="inlineStr">
        <is>
          <t>reuse</t>
        </is>
      </c>
      <c r="H421" t="inlineStr">
        <is>
          <t>seed_codex_amazon_sde</t>
        </is>
      </c>
      <c r="I421" t="inlineStr">
        <is>
          <t>Amazon SDE</t>
        </is>
      </c>
      <c r="J421" t="inlineStr">
        <is>
          <t>amazon_platform_mainline</t>
        </is>
      </c>
      <c r="K421" t="inlineStr">
        <is>
          <t>mainline</t>
        </is>
      </c>
      <c r="L421"/>
      <c r="M421"/>
      <c r="N421"/>
      <c r="O421"/>
      <c r="P421"/>
      <c r="Q421"/>
      <c r="R421">
        <f>HYPERLINK("https://boards.greenhouse.io/embed/job_app?token=5592469004&amp;utm_source=jobright","https://boards.greenhouse.io/embed/job_app?token=5592469004&amp;utm_source=jobright")</f>
      </c>
    </row>
    <row r="422">
      <c r="A422" t="inlineStr">
        <is>
          <t>Meltwater</t>
        </is>
      </c>
      <c r="B422" t="inlineStr">
        <is>
          <t>2026-04-04 00:26:13</t>
        </is>
      </c>
      <c r="C422" t="inlineStr">
        <is>
          <t>69d0a0f5891d7b11cfcdd7d1</t>
        </is>
      </c>
      <c r="D422" t="inlineStr">
        <is>
          <t>Machine Learning Engineer</t>
        </is>
      </c>
      <c r="E422" t="inlineStr">
        <is>
          <t>1_Discovered</t>
        </is>
      </c>
      <c r="F422" t="inlineStr">
        <is>
          <t>fanout_batch</t>
        </is>
      </c>
      <c r="G422" t="inlineStr">
        <is>
          <t>retarget</t>
        </is>
      </c>
      <c r="H422" t="inlineStr">
        <is>
          <t>seed_plaid_data_scientist</t>
        </is>
      </c>
      <c r="I422" t="inlineStr">
        <is>
          <t>Plaid Data Scientist</t>
        </is>
      </c>
      <c r="J422"/>
      <c r="K422"/>
      <c r="L422"/>
      <c r="M422"/>
      <c r="N422">
        <v>94.0</v>
      </c>
      <c r="O422" t="inlineStr">
        <is>
          <t>pass</t>
        </is>
      </c>
      <c r="P422">
        <f>HYPERLINK("file:///Users/jingyizhang/Documents/Playground/projects/local_job_resume_pipeline/data/deliverables/resume_portfolio/by_company/meltwater/2026-04-04/69d0a0f5891d7b11cfcdd7d1/resume.md","/Users/jingyizhang/Documents/Playground/projects/local_job_resume_pipeline/data/deliverables/resume_portfolio/by_company/meltwater/2026-04-04/69d0a0f5891d7b11cfcdd7d1/resume.md")</f>
      </c>
      <c r="Q422"/>
      <c r="R422">
        <f>HYPERLINK("https://meltwatercareers.ttcportals.com/en/jobs/17202973-machine-learning-engineer?tm_job=12541&amp;tm_event=view&amp;tm_company=89119&amp;bid=370&amp;__jvst=Job+Board&amp;__jvsd=LinkedIn","https://meltwatercareers.ttcportals.com/en/jobs/17202973-machine-learning-engineer?tm_job=12541&amp;tm_event=view&amp;tm_company=89119&amp;bid=370&amp;__jvst=Job+Board&amp;__jvsd=LinkedIn")</f>
      </c>
    </row>
    <row r="423">
      <c r="A423" t="inlineStr">
        <is>
          <t>Uber</t>
        </is>
      </c>
      <c r="B423" t="inlineStr">
        <is>
          <t>2026-04-03 23:59:12</t>
        </is>
      </c>
      <c r="C423" t="inlineStr">
        <is>
          <t>69d09aa00b098b7a6707b3d9</t>
        </is>
      </c>
      <c r="D423" t="inlineStr">
        <is>
          <t>Machine Learning Engineer II - Marketplace Pricing &amp; Incentives</t>
        </is>
      </c>
      <c r="E423" t="inlineStr">
        <is>
          <t>1_Discovered</t>
        </is>
      </c>
      <c r="F423" t="inlineStr">
        <is>
          <t>fanout_batch</t>
        </is>
      </c>
      <c r="G423" t="inlineStr">
        <is>
          <t>reuse</t>
        </is>
      </c>
      <c r="H423" t="inlineStr">
        <is>
          <t>seed_bytedance_ml_grad</t>
        </is>
      </c>
      <c r="I423" t="inlineStr">
        <is>
          <t>ByteDance ML Grad</t>
        </is>
      </c>
      <c r="J423"/>
      <c r="K423"/>
      <c r="L423"/>
      <c r="M423"/>
      <c r="N423"/>
      <c r="O423"/>
      <c r="P423"/>
      <c r="Q423"/>
      <c r="R423">
        <f>HYPERLINK("https://tnl2.jometer.com/v2/job?jz=5wqzs7b5e346984e82a26ddb356405a5e0de1KMAGUCAAAABQ&amp;iis=Job%20Board%20-%20Recruitment%20Marketing&amp;iisn=LinkedIn","https://tnl2.jometer.com/v2/job?jz=5wqzs7b5e346984e82a26ddb356405a5e0de1KMAGUCAAAABQ&amp;iis=Job%20Board%20-%20Recruitment%20Marketing&amp;iisn=LinkedIn")</f>
      </c>
    </row>
    <row r="424">
      <c r="A424" t="inlineStr">
        <is>
          <t>Uber</t>
        </is>
      </c>
      <c r="B424" t="inlineStr">
        <is>
          <t>2026-04-03 22:26:25</t>
        </is>
      </c>
      <c r="C424" t="inlineStr">
        <is>
          <t>69d084e154f00230c6d12ef5</t>
        </is>
      </c>
      <c r="D424" t="inlineStr">
        <is>
          <t>Applied Scientist - Marketplace Fairness</t>
        </is>
      </c>
      <c r="E424" t="inlineStr">
        <is>
          <t>1_Discovered</t>
        </is>
      </c>
      <c r="F424" t="inlineStr">
        <is>
          <t>seed_validation</t>
        </is>
      </c>
      <c r="G424" t="inlineStr">
        <is>
          <t>reuse</t>
        </is>
      </c>
      <c r="H424" t="inlineStr">
        <is>
          <t>seed_glean_ml_infra</t>
        </is>
      </c>
      <c r="I424" t="inlineStr">
        <is>
          <t>Glean ML Infrastructure</t>
        </is>
      </c>
      <c r="J424"/>
      <c r="K424"/>
      <c r="L424"/>
      <c r="M424"/>
      <c r="N424"/>
      <c r="O424"/>
      <c r="P424"/>
      <c r="Q424"/>
      <c r="R424">
        <f>HYPERLINK("https://www.uber.com/global/en/careers/list/150302/?iis=Job%20Board%20-%20Recruitment%20Marketing&amp;iisn=Indeed%20Organic&amp;iisp=organic&amp;ittk=JFITZJTLZX&amp;jClickId=df31e9d9-bcd3-4412-a16d-bd5ec4bafcd7","https://www.uber.com/global/en/careers/list/150302/?iis=Job%20Board%20-%20Recruitment%20Marketing&amp;iisn=Indeed%20Organic&amp;iisp=organic&amp;ittk=JFITZJTLZX&amp;jClickId=df31e9d9-bcd3-4412-a16d-bd5ec4bafcd7")</f>
      </c>
    </row>
    <row r="425">
      <c r="A425" t="inlineStr">
        <is>
          <t>NVIDIA</t>
        </is>
      </c>
      <c r="B425" t="inlineStr">
        <is>
          <t>2026-04-03 22:25:45</t>
        </is>
      </c>
      <c r="C425" t="inlineStr">
        <is>
          <t>69d084b954f00230c6d12eef</t>
        </is>
      </c>
      <c r="D425" t="inlineStr">
        <is>
          <t>Deep Learning Software Engineer, TensorRT Performance - New College Grad 2026</t>
        </is>
      </c>
      <c r="E425" t="inlineStr">
        <is>
          <t>1_Discovered</t>
        </is>
      </c>
      <c r="F425" t="inlineStr">
        <is>
          <t>fanout_batch</t>
        </is>
      </c>
      <c r="G425" t="inlineStr">
        <is>
          <t>retarget</t>
        </is>
      </c>
      <c r="H425" t="inlineStr">
        <is>
          <t>seed_h2o_ai_engineer</t>
        </is>
      </c>
      <c r="I425" t="inlineStr">
        <is>
          <t>H2O AI Engineer</t>
        </is>
      </c>
      <c r="J425"/>
      <c r="K425"/>
      <c r="L425"/>
      <c r="M425"/>
      <c r="N425">
        <v>94.9</v>
      </c>
      <c r="O425" t="inlineStr">
        <is>
          <t>pass</t>
        </is>
      </c>
      <c r="P425">
        <f>HYPERLINK("file:///Users/jingyizhang/Documents/Playground/projects/local_job_resume_pipeline/data/deliverables/resume_portfolio/by_company/nvidia/2026-04-03/69d084b954f00230c6d12eef/resume.md","/Users/jingyizhang/Documents/Playground/projects/local_job_resume_pipeline/data/deliverables/resume_portfolio/by_company/nvidia/2026-04-03/69d084b954f00230c6d12eef/resume.md")</f>
      </c>
      <c r="Q425"/>
      <c r="R425">
        <f>HYPERLINK("https://nvidia.wd5.myworkdayjobs.com/NVIDIAExternalCareerSite/job/US-CA-Santa-Clara/Deep-Learning-Software-Engineer--TensorRT-Performance---New-College-Grad-2026_JR2015071?source=jobboardlinkedin","https://nvidia.wd5.myworkdayjobs.com/NVIDIAExternalCareerSite/job/US-CA-Santa-Clara/Deep-Learning-Software-Engineer--TensorRT-Performance---New-College-Grad-2026_JR2015071?source=jobboardlinkedin")</f>
      </c>
    </row>
    <row r="426">
      <c r="A426" t="inlineStr">
        <is>
          <t>NVIDIA</t>
        </is>
      </c>
      <c r="B426" t="inlineStr">
        <is>
          <t>2026-04-03 22:25:09</t>
        </is>
      </c>
      <c r="C426" t="inlineStr">
        <is>
          <t>69d08495cdb525785fbab3c5</t>
        </is>
      </c>
      <c r="D426" t="inlineStr">
        <is>
          <t>Deep Learning Software Engineer, LLM Performance - New College Grad 2026</t>
        </is>
      </c>
      <c r="E426" t="inlineStr">
        <is>
          <t>1_Discovered</t>
        </is>
      </c>
      <c r="F426" t="inlineStr">
        <is>
          <t>fanout_batch</t>
        </is>
      </c>
      <c r="G426" t="inlineStr">
        <is>
          <t>retarget</t>
        </is>
      </c>
      <c r="H426" t="inlineStr">
        <is>
          <t>seed_amazon_agi_ml_anchor</t>
        </is>
      </c>
      <c r="I426" t="inlineStr">
        <is>
          <t>Amazon AGI/LLM Anchor</t>
        </is>
      </c>
      <c r="J426" t="inlineStr">
        <is>
          <t>amazon_ai_ads_mainline</t>
        </is>
      </c>
      <c r="K426" t="inlineStr">
        <is>
          <t>mainline</t>
        </is>
      </c>
      <c r="L426"/>
      <c r="M426"/>
      <c r="N426">
        <v>95.1</v>
      </c>
      <c r="O426" t="inlineStr">
        <is>
          <t>pass</t>
        </is>
      </c>
      <c r="P426">
        <f>HYPERLINK("file:///Users/jingyizhang/Documents/Playground/projects/local_job_resume_pipeline/data/deliverables/resume_portfolio/by_company/nvidia/2026-04-03/69d08495cdb525785fbab3c5/resume.md","/Users/jingyizhang/Documents/Playground/projects/local_job_resume_pipeline/data/deliverables/resume_portfolio/by_company/nvidia/2026-04-03/69d08495cdb525785fbab3c5/resume.md")</f>
      </c>
      <c r="Q426"/>
      <c r="R426">
        <f>HYPERLINK("https://nvidia.wd5.myworkdayjobs.com/NVIDIAExternalCareerSite/job/US-CA-Santa-Clara/Deep-Learning-Software-Engineer--LLM-Performance---New-College-Grad-2026_JR2015874?source=jobboardlinkedin","https://nvidia.wd5.myworkdayjobs.com/NVIDIAExternalCareerSite/job/US-CA-Santa-Clara/Deep-Learning-Software-Engineer--LLM-Performance---New-College-Grad-2026_JR2015874?source=jobboardlinkedin")</f>
      </c>
    </row>
    <row r="427">
      <c r="A427" t="inlineStr">
        <is>
          <t>Caltech</t>
        </is>
      </c>
      <c r="B427" t="inlineStr">
        <is>
          <t>2026-04-03 22:20:02</t>
        </is>
      </c>
      <c r="C427" t="inlineStr">
        <is>
          <t>69d08362366bb95ba551f1fb</t>
        </is>
      </c>
      <c r="D427" t="inlineStr">
        <is>
          <t>Senior Applications Developer</t>
        </is>
      </c>
      <c r="E427" t="inlineStr">
        <is>
          <t>1_Discovered</t>
        </is>
      </c>
      <c r="F427" t="inlineStr">
        <is>
          <t>fanout_batch</t>
        </is>
      </c>
      <c r="G427" t="inlineStr">
        <is>
          <t>reuse</t>
        </is>
      </c>
      <c r="H427" t="inlineStr">
        <is>
          <t>seed_paypal_java_backend</t>
        </is>
      </c>
      <c r="I427" t="inlineStr">
        <is>
          <t>PayPal Java Backend</t>
        </is>
      </c>
      <c r="J427"/>
      <c r="K427"/>
      <c r="L427"/>
      <c r="M427"/>
      <c r="N427"/>
      <c r="O427"/>
      <c r="P427"/>
      <c r="Q427"/>
      <c r="R427">
        <f>HYPERLINK("https://phf.tbe.taleo.net/phf03/ats/careers/v2/viewRequisition?org=CALTECH&amp;cws=37&amp;rid=10875&amp;source=LinkedIn&amp;src=LinkedIn&amp;gns=LinkedIn","https://phf.tbe.taleo.net/phf03/ats/careers/v2/viewRequisition?org=CALTECH&amp;cws=37&amp;rid=10875&amp;source=LinkedIn&amp;src=LinkedIn&amp;gns=LinkedIn")</f>
      </c>
    </row>
    <row r="428">
      <c r="A428" t="inlineStr">
        <is>
          <t>CentralSquare Technologies</t>
        </is>
      </c>
      <c r="B428" t="inlineStr">
        <is>
          <t>2026-04-03 22:20:01</t>
        </is>
      </c>
      <c r="C428" t="inlineStr">
        <is>
          <t>69d083610b098b7a6707a28f</t>
        </is>
      </c>
      <c r="D428" t="inlineStr">
        <is>
          <t>Cloud Release Engineer - Remote</t>
        </is>
      </c>
      <c r="E428" t="inlineStr">
        <is>
          <t>1_Discovered</t>
        </is>
      </c>
      <c r="F428" t="inlineStr">
        <is>
          <t>fanout_batch</t>
        </is>
      </c>
      <c r="G428" t="inlineStr">
        <is>
          <t>reuse</t>
        </is>
      </c>
      <c r="H428" t="inlineStr">
        <is>
          <t>seed_fireblocks_sre_anchor</t>
        </is>
      </c>
      <c r="I428" t="inlineStr">
        <is>
          <t>Fireblocks SRE Anchor</t>
        </is>
      </c>
      <c r="J428"/>
      <c r="K428"/>
      <c r="L428"/>
      <c r="M428"/>
      <c r="N428"/>
      <c r="O428"/>
      <c r="P428"/>
      <c r="Q428"/>
      <c r="R428">
        <f>HYPERLINK("https://recruit.hirebridge.com/v3/careercenter/v2/details.aspx?jid=609318&amp;cid=7724&amp;locvalue=11081108&amp;src=linkedin","https://recruit.hirebridge.com/v3/careercenter/v2/details.aspx?jid=609318&amp;cid=7724&amp;locvalue=11081108&amp;src=linkedin")</f>
      </c>
    </row>
    <row r="429">
      <c r="A429" t="inlineStr">
        <is>
          <t>Parafin</t>
        </is>
      </c>
      <c r="B429" t="inlineStr">
        <is>
          <t>2026-04-03 22:18:53</t>
        </is>
      </c>
      <c r="C429" t="inlineStr">
        <is>
          <t>69d0831d54f00230c6d12c87</t>
        </is>
      </c>
      <c r="D429" t="inlineStr">
        <is>
          <t>Senior Software Engineer, Infrastructure</t>
        </is>
      </c>
      <c r="E429" t="inlineStr">
        <is>
          <t>1_Discovered</t>
        </is>
      </c>
      <c r="F429" t="inlineStr">
        <is>
          <t>fanout_batch</t>
        </is>
      </c>
      <c r="G429" t="inlineStr">
        <is>
          <t>retarget</t>
        </is>
      </c>
      <c r="H429" t="inlineStr">
        <is>
          <t>seed_trimedx_platform_multicloud</t>
        </is>
      </c>
      <c r="I429" t="inlineStr">
        <is>
          <t>TRIMEDX Platform Multicloud</t>
        </is>
      </c>
      <c r="J429"/>
      <c r="K429"/>
      <c r="L429"/>
      <c r="M429"/>
      <c r="N429">
        <v>93.7</v>
      </c>
      <c r="O429" t="inlineStr">
        <is>
          <t>pass</t>
        </is>
      </c>
      <c r="P429">
        <f>HYPERLINK("file:///Users/jingyizhang/Documents/Playground/projects/local_job_resume_pipeline/data/deliverables/resume_portfolio/by_company/parafin/2026-04-03/69d0831d54f00230c6d12c87/resume.md","/Users/jingyizhang/Documents/Playground/projects/local_job_resume_pipeline/data/deliverables/resume_portfolio/by_company/parafin/2026-04-03/69d0831d54f00230c6d12c87/resume.md")</f>
      </c>
      <c r="Q429"/>
      <c r="R429">
        <f>HYPERLINK("https://jobs.ashbyhq.com/parafin/d5321f21-a8b6-4668-bb8f-1ca924666da1/application?utm_source=kA2AModnez","https://jobs.ashbyhq.com/parafin/d5321f21-a8b6-4668-bb8f-1ca924666da1/application?utm_source=kA2AModnez")</f>
      </c>
    </row>
    <row r="430">
      <c r="A430" t="inlineStr">
        <is>
          <t>Lennar</t>
        </is>
      </c>
      <c r="B430" t="inlineStr">
        <is>
          <t>2026-04-03 22:05:42</t>
        </is>
      </c>
      <c r="C430" t="inlineStr">
        <is>
          <t>69d08006cdb525785fbab0eb</t>
        </is>
      </c>
      <c r="D430" t="inlineStr">
        <is>
          <t>Data Analyst II</t>
        </is>
      </c>
      <c r="E430" t="inlineStr">
        <is>
          <t>1_Discovered</t>
        </is>
      </c>
      <c r="F430" t="inlineStr">
        <is>
          <t>fanout_batch</t>
        </is>
      </c>
      <c r="G430" t="inlineStr">
        <is>
          <t>retarget</t>
        </is>
      </c>
      <c r="H430" t="inlineStr">
        <is>
          <t>seed_qualified_health_data_engineer</t>
        </is>
      </c>
      <c r="I430" t="inlineStr">
        <is>
          <t>Qualified Health Data Engineer</t>
        </is>
      </c>
      <c r="J430"/>
      <c r="K430"/>
      <c r="L430"/>
      <c r="M430"/>
      <c r="N430">
        <v>87.6</v>
      </c>
      <c r="O430" t="inlineStr">
        <is>
          <t>fail</t>
        </is>
      </c>
      <c r="P430">
        <f>HYPERLINK("file:///Users/jingyizhang/Documents/Playground/projects/local_job_resume_pipeline/data/deliverables/resume_portfolio/by_company/lennar/2026-04-03/69d08006cdb525785fbab0eb/resume.md","/Users/jingyizhang/Documents/Playground/projects/local_job_resume_pipeline/data/deliverables/resume_portfolio/by_company/lennar/2026-04-03/69d08006cdb525785fbab0eb/resume.md")</f>
      </c>
      <c r="Q430"/>
      <c r="R430">
        <f>HYPERLINK("https://careers.lennar.com/en-US/job/data-analyst-ii/J3V1Y678GHCGTH3BR7Z?source=LinkedIn","https://careers.lennar.com/en-US/job/data-analyst-ii/J3V1Y678GHCGTH3BR7Z?source=LinkedIn")</f>
      </c>
    </row>
    <row r="431">
      <c r="A431" t="inlineStr">
        <is>
          <t>Apple</t>
        </is>
      </c>
      <c r="B431" t="inlineStr">
        <is>
          <t>2026-04-03 22:04:19</t>
        </is>
      </c>
      <c r="C431" t="inlineStr">
        <is>
          <t>69d07fb3cfdc6132f943bfdf</t>
        </is>
      </c>
      <c r="D431" t="inlineStr">
        <is>
          <t>Engineering Program Manager, OS Build Train Management &amp; Integration</t>
        </is>
      </c>
      <c r="E431" t="inlineStr">
        <is>
          <t>1_Discovered</t>
        </is>
      </c>
      <c r="F431" t="inlineStr">
        <is>
          <t>fanout_batch</t>
        </is>
      </c>
      <c r="G431" t="inlineStr">
        <is>
          <t>retarget</t>
        </is>
      </c>
      <c r="H431" t="inlineStr">
        <is>
          <t>seed_h2o_ai_engineer</t>
        </is>
      </c>
      <c r="I431" t="inlineStr">
        <is>
          <t>H2O AI Engineer</t>
        </is>
      </c>
      <c r="J431"/>
      <c r="K431"/>
      <c r="L431"/>
      <c r="M431"/>
      <c r="N431">
        <v>93.5</v>
      </c>
      <c r="O431" t="inlineStr">
        <is>
          <t>pass</t>
        </is>
      </c>
      <c r="P431">
        <f>HYPERLINK("file:///Users/jingyizhang/Documents/Playground/projects/local_job_resume_pipeline/data/deliverables/resume_portfolio/by_company/apple/2026-04-03/69d07fb3cfdc6132f943bfdf/resume.md","/Users/jingyizhang/Documents/Playground/projects/local_job_resume_pipeline/data/deliverables/resume_portfolio/by_company/apple/2026-04-03/69d07fb3cfdc6132f943bfdf/resume.md")</f>
      </c>
      <c r="Q431"/>
      <c r="R431">
        <f>HYPERLINK("https://jobs.apple.com/en-us/details/200655873-3543/engineering-program-manager-os-build-train-management-integration?team=SFTWR","https://jobs.apple.com/en-us/details/200655873-3543/engineering-program-manager-os-build-train-management-integration?team=SFTWR")</f>
      </c>
    </row>
    <row r="432">
      <c r="A432" t="inlineStr">
        <is>
          <t>Apple</t>
        </is>
      </c>
      <c r="B432" t="inlineStr">
        <is>
          <t>2026-04-03 22:04:19</t>
        </is>
      </c>
      <c r="C432" t="inlineStr">
        <is>
          <t>69d07fb3cfdc6132f943bfde</t>
        </is>
      </c>
      <c r="D432" t="inlineStr">
        <is>
          <t>SW User Experience Automation QE</t>
        </is>
      </c>
      <c r="E432" t="inlineStr">
        <is>
          <t>1_Discovered</t>
        </is>
      </c>
      <c r="F432" t="inlineStr">
        <is>
          <t>fanout_batch</t>
        </is>
      </c>
      <c r="G432" t="inlineStr">
        <is>
          <t>retarget</t>
        </is>
      </c>
      <c r="H432" t="inlineStr">
        <is>
          <t>seed_magnite_sdet</t>
        </is>
      </c>
      <c r="I432" t="inlineStr">
        <is>
          <t>Magnite SDET</t>
        </is>
      </c>
      <c r="J432"/>
      <c r="K432"/>
      <c r="L432"/>
      <c r="M432"/>
      <c r="N432">
        <v>95.2</v>
      </c>
      <c r="O432" t="inlineStr">
        <is>
          <t>pass</t>
        </is>
      </c>
      <c r="P432">
        <f>HYPERLINK("file:///Users/jingyizhang/Documents/Playground/projects/local_job_resume_pipeline/data/deliverables/resume_portfolio/by_company/apple/2026-04-03/69d07fb3cfdc6132f943bfde/resume.md","/Users/jingyizhang/Documents/Playground/projects/local_job_resume_pipeline/data/deliverables/resume_portfolio/by_company/apple/2026-04-03/69d07fb3cfdc6132f943bfde/resume.md")</f>
      </c>
      <c r="Q432"/>
      <c r="R432">
        <f>HYPERLINK("https://jobs.apple.com/en-us/details/200655866-3543/sw-user-experience-automation-qe?team=SFTWR","https://jobs.apple.com/en-us/details/200655866-3543/sw-user-experience-automation-qe?team=SFTWR")</f>
      </c>
    </row>
    <row r="433">
      <c r="A433" t="inlineStr">
        <is>
          <t>Apple</t>
        </is>
      </c>
      <c r="B433" t="inlineStr">
        <is>
          <t>2026-04-03 22:03:57</t>
        </is>
      </c>
      <c r="C433" t="inlineStr">
        <is>
          <t>69d07f9d891d7b11cfcdc12d</t>
        </is>
      </c>
      <c r="D433" t="inlineStr">
        <is>
          <t>Machine Learning Engineer — On-device Control and Optimization, Core OS</t>
        </is>
      </c>
      <c r="E433" t="inlineStr">
        <is>
          <t>1_Discovered</t>
        </is>
      </c>
      <c r="F433" t="inlineStr">
        <is>
          <t>fanout_batch</t>
        </is>
      </c>
      <c r="G433" t="inlineStr">
        <is>
          <t>reuse</t>
        </is>
      </c>
      <c r="H433" t="inlineStr">
        <is>
          <t>seed_amazon_agi_ml_anchor</t>
        </is>
      </c>
      <c r="I433" t="inlineStr">
        <is>
          <t>Amazon AGI/LLM Anchor</t>
        </is>
      </c>
      <c r="J433" t="inlineStr">
        <is>
          <t>amazon_ai_ads_mainline</t>
        </is>
      </c>
      <c r="K433" t="inlineStr">
        <is>
          <t>mainline</t>
        </is>
      </c>
      <c r="L433"/>
      <c r="M433"/>
      <c r="N433"/>
      <c r="O433"/>
      <c r="P433"/>
      <c r="Q433"/>
      <c r="R433">
        <f>HYPERLINK("https://jobs.apple.com/en-us/details/200655892-3337/machine-learning-engineer-on-device-control-and-optimization-core-os?team=SFTWR","https://jobs.apple.com/en-us/details/200655892-3337/machine-learning-engineer-on-device-control-and-optimization-core-os?team=SFTWR")</f>
      </c>
    </row>
    <row r="434">
      <c r="A434" t="inlineStr">
        <is>
          <t>Jam City</t>
        </is>
      </c>
      <c r="B434" t="inlineStr">
        <is>
          <t>2026-04-03 21:52:39</t>
        </is>
      </c>
      <c r="C434" t="inlineStr">
        <is>
          <t>69d07cf7cfdc6132f943bf33</t>
        </is>
      </c>
      <c r="D434" t="inlineStr">
        <is>
          <t>Sr. Data Analyst, Product.</t>
        </is>
      </c>
      <c r="E434" t="inlineStr">
        <is>
          <t>1_Discovered</t>
        </is>
      </c>
      <c r="F434" t="inlineStr">
        <is>
          <t>fanout_batch</t>
        </is>
      </c>
      <c r="G434" t="inlineStr">
        <is>
          <t>retarget</t>
        </is>
      </c>
      <c r="H434" t="inlineStr">
        <is>
          <t>seed_qualified_health_data_engineer</t>
        </is>
      </c>
      <c r="I434" t="inlineStr">
        <is>
          <t>Qualified Health Data Engineer</t>
        </is>
      </c>
      <c r="J434"/>
      <c r="K434"/>
      <c r="L434"/>
      <c r="M434"/>
      <c r="N434">
        <v>90.8</v>
      </c>
      <c r="O434" t="inlineStr">
        <is>
          <t>conditional_pass</t>
        </is>
      </c>
      <c r="P434">
        <f>HYPERLINK("file:///Users/jingyizhang/Documents/Playground/projects/local_job_resume_pipeline/data/deliverables/resume_portfolio/by_company/jam-city/2026-04-03/69d07cf7cfdc6132f943bf33/resume.md","/Users/jingyizhang/Documents/Playground/projects/local_job_resume_pipeline/data/deliverables/resume_portfolio/by_company/jam-city/2026-04-03/69d07cf7cfdc6132f943bf33/resume.md")</f>
      </c>
      <c r="Q434"/>
      <c r="R434">
        <f>HYPERLINK("https://jobs.lever.co/jamcity/fcf0c155-0e16-429a-bc49-30bd79a2e316/apply?name=LinkedIn&amp;SID=69","https://jobs.lever.co/jamcity/fcf0c155-0e16-429a-bc49-30bd79a2e316/apply?name=LinkedIn&amp;SID=69")</f>
      </c>
    </row>
    <row r="435">
      <c r="A435" t="inlineStr">
        <is>
          <t>TA Instruments</t>
        </is>
      </c>
      <c r="B435" t="inlineStr">
        <is>
          <t>2026-04-03 21:51:00</t>
        </is>
      </c>
      <c r="C435" t="inlineStr">
        <is>
          <t>69d07c94891d7b11cfcdc031</t>
        </is>
      </c>
      <c r="D435" t="inlineStr">
        <is>
          <t>Sr. Data Engineer</t>
        </is>
      </c>
      <c r="E435" t="inlineStr">
        <is>
          <t>1_Discovered</t>
        </is>
      </c>
      <c r="F435" t="inlineStr">
        <is>
          <t>fanout_batch</t>
        </is>
      </c>
      <c r="G435" t="inlineStr">
        <is>
          <t>reuse</t>
        </is>
      </c>
      <c r="H435" t="inlineStr">
        <is>
          <t>seed_qualified_health_data_engineer</t>
        </is>
      </c>
      <c r="I435" t="inlineStr">
        <is>
          <t>Qualified Health Data Engineer</t>
        </is>
      </c>
      <c r="J435"/>
      <c r="K435"/>
      <c r="L435"/>
      <c r="M435"/>
      <c r="N435"/>
      <c r="O435"/>
      <c r="P435"/>
      <c r="Q435"/>
      <c r="R435">
        <f>HYPERLINK("https://uscareers-waters.icims.com/jobs/25991/sr.-data-engineer/job?in_iframe=1","https://uscareers-waters.icims.com/jobs/25991/sr.-data-engineer/job?in_iframe=1")</f>
      </c>
    </row>
    <row r="436">
      <c r="A436" t="inlineStr">
        <is>
          <t>Cisco</t>
        </is>
      </c>
      <c r="B436" t="inlineStr">
        <is>
          <t>2026-04-03 21:46:40</t>
        </is>
      </c>
      <c r="C436" t="inlineStr">
        <is>
          <t>69d07b90cfdc6132f943be1d</t>
        </is>
      </c>
      <c r="D436" t="inlineStr">
        <is>
          <t>Software Engineer</t>
        </is>
      </c>
      <c r="E436" t="inlineStr">
        <is>
          <t>1_Discovered</t>
        </is>
      </c>
      <c r="F436" t="inlineStr">
        <is>
          <t>seed_source</t>
        </is>
      </c>
      <c r="G436" t="inlineStr">
        <is>
          <t>seed_source</t>
        </is>
      </c>
      <c r="H436" t="inlineStr">
        <is>
          <t>seed_cisco_backend_api</t>
        </is>
      </c>
      <c r="I436" t="inlineStr">
        <is>
          <t>Cisco Backend API</t>
        </is>
      </c>
      <c r="J436"/>
      <c r="K436"/>
      <c r="L436"/>
      <c r="M436"/>
      <c r="N436">
        <v>95.1</v>
      </c>
      <c r="O436" t="inlineStr">
        <is>
          <t>pass</t>
        </is>
      </c>
      <c r="P436">
        <f>HYPERLINK("file:///Users/jingyizhang/Documents/Playground/projects/local_job_resume_pipeline/data/deliverables/resume_portfolio/by_company/cisco/2026-04-03/69d07b90cfdc6132f943be1d/resume.md","/Users/jingyizhang/Documents/Playground/projects/local_job_resume_pipeline/data/deliverables/resume_portfolio/by_company/cisco/2026-04-03/69d07b90cfdc6132f943be1d/resume.md")</f>
      </c>
      <c r="Q436"/>
      <c r="R436">
        <f>HYPERLINK("https://careers.cisco.com/global/en/job/CISCISGLOBAL2010272EXTERNALENGLOBAL/Software-Engineer?utm_source=linkedin&amp;utm_medium=phenom-feeds","https://careers.cisco.com/global/en/job/CISCISGLOBAL2010272EXTERNALENGLOBAL/Software-Engineer?utm_source=linkedin&amp;utm_medium=phenom-feeds")</f>
      </c>
    </row>
    <row r="437">
      <c r="A437" t="inlineStr">
        <is>
          <t>Stripe</t>
        </is>
      </c>
      <c r="B437" t="inlineStr">
        <is>
          <t>2026-04-03 21:44:54</t>
        </is>
      </c>
      <c r="C437" t="inlineStr">
        <is>
          <t>69c241a7c9ad035e829aff55</t>
        </is>
      </c>
      <c r="D437" t="inlineStr">
        <is>
          <t>Backend Engineer, Payments and Risk</t>
        </is>
      </c>
      <c r="E437" t="inlineStr">
        <is>
          <t>1_Discovered</t>
        </is>
      </c>
      <c r="F437" t="inlineStr">
        <is>
          <t>fanout_batch</t>
        </is>
      </c>
      <c r="G437" t="inlineStr">
        <is>
          <t>reuse</t>
        </is>
      </c>
      <c r="H437" t="inlineStr">
        <is>
          <t>seed_paypal_java_backend</t>
        </is>
      </c>
      <c r="I437" t="inlineStr">
        <is>
          <t>PayPal Java Backend</t>
        </is>
      </c>
      <c r="J437"/>
      <c r="K437"/>
      <c r="L437"/>
      <c r="M437"/>
      <c r="N437"/>
      <c r="O437"/>
      <c r="P437"/>
      <c r="Q437"/>
      <c r="R437">
        <f>HYPERLINK("https://stripe.com/jobs/listing/backend-engineer-payments-and-risk/7232592?gh_src=73vnei","https://stripe.com/jobs/listing/backend-engineer-payments-and-risk/7232592?gh_src=73vnei")</f>
      </c>
    </row>
    <row r="438">
      <c r="A438" t="inlineStr">
        <is>
          <t>Ultima Genomics</t>
        </is>
      </c>
      <c r="B438" t="inlineStr">
        <is>
          <t>2026-04-03 21:28:58</t>
        </is>
      </c>
      <c r="C438" t="inlineStr">
        <is>
          <t>69d0776a891d7b11cfcdbab5</t>
        </is>
      </c>
      <c r="D438" t="inlineStr">
        <is>
          <t>Product Engineer I</t>
        </is>
      </c>
      <c r="E438" t="inlineStr">
        <is>
          <t>1_Discovered</t>
        </is>
      </c>
      <c r="F438" t="inlineStr">
        <is>
          <t>seed_validation</t>
        </is>
      </c>
      <c r="G438" t="inlineStr">
        <is>
          <t>reuse</t>
        </is>
      </c>
      <c r="H438" t="inlineStr">
        <is>
          <t>seed_generalist_dotnet_enterprise</t>
        </is>
      </c>
      <c r="I438" t="inlineStr">
        <is>
          <t>Generalist DotNet Enterprise</t>
        </is>
      </c>
      <c r="J438"/>
      <c r="K438"/>
      <c r="L438"/>
      <c r="M438"/>
      <c r="N438"/>
      <c r="O438"/>
      <c r="P438"/>
      <c r="Q438"/>
      <c r="R438">
        <f>HYPERLINK("https://boards.greenhouse.io/embed/job_app?token=5842648004&amp;utm_source=jobright","https://boards.greenhouse.io/embed/job_app?token=5842648004&amp;utm_source=jobright")</f>
      </c>
    </row>
    <row r="439">
      <c r="A439" t="inlineStr">
        <is>
          <t>Cresta</t>
        </is>
      </c>
      <c r="B439" t="inlineStr">
        <is>
          <t>2026-04-03 21:28:52</t>
        </is>
      </c>
      <c r="C439" t="inlineStr">
        <is>
          <t>684c951cba4db2b7720240a9</t>
        </is>
      </c>
      <c r="D439" t="inlineStr">
        <is>
          <t>Senior Forward Deployed Engineer (AI Agent)</t>
        </is>
      </c>
      <c r="E439" t="inlineStr">
        <is>
          <t>1_Discovered</t>
        </is>
      </c>
      <c r="F439" t="inlineStr">
        <is>
          <t>fanout_batch</t>
        </is>
      </c>
      <c r="G439" t="inlineStr">
        <is>
          <t>retarget</t>
        </is>
      </c>
      <c r="H439" t="inlineStr">
        <is>
          <t>seed_h2o_ai_engineer</t>
        </is>
      </c>
      <c r="I439" t="inlineStr">
        <is>
          <t>H2O AI Engineer</t>
        </is>
      </c>
      <c r="J439"/>
      <c r="K439"/>
      <c r="L439"/>
      <c r="M439"/>
      <c r="N439">
        <v>94.8</v>
      </c>
      <c r="O439" t="inlineStr">
        <is>
          <t>pass</t>
        </is>
      </c>
      <c r="P439">
        <f>HYPERLINK("file:///Users/jingyizhang/Documents/Playground/projects/local_job_resume_pipeline/data/deliverables/resume_portfolio/by_company/cresta/2026-04-03/684c951cba4db2b7720240a9/resume.md","/Users/jingyizhang/Documents/Playground/projects/local_job_resume_pipeline/data/deliverables/resume_portfolio/by_company/cresta/2026-04-03/684c951cba4db2b7720240a9/resume.md")</f>
      </c>
      <c r="Q439"/>
      <c r="R439">
        <f>HYPERLINK("https://boards.greenhouse.io/embed/job_app?token=4759347008&amp;utm_source=jobright","https://boards.greenhouse.io/embed/job_app?token=4759347008&amp;utm_source=jobright")</f>
      </c>
    </row>
    <row r="440">
      <c r="A440" t="inlineStr">
        <is>
          <t>JPMorganChase</t>
        </is>
      </c>
      <c r="B440" t="inlineStr">
        <is>
          <t>2026-04-03 21:22:01</t>
        </is>
      </c>
      <c r="C440" t="inlineStr">
        <is>
          <t>69d075c9cfdc6132f943b769</t>
        </is>
      </c>
      <c r="D440" t="inlineStr">
        <is>
          <t>Data Software Engineer III - ML</t>
        </is>
      </c>
      <c r="E440" t="inlineStr">
        <is>
          <t>1_Discovered</t>
        </is>
      </c>
      <c r="F440" t="inlineStr">
        <is>
          <t>fanout_batch</t>
        </is>
      </c>
      <c r="G440" t="inlineStr">
        <is>
          <t>reuse</t>
        </is>
      </c>
      <c r="H440" t="inlineStr">
        <is>
          <t>seed_jpmc_data_mlops_anchor</t>
        </is>
      </c>
      <c r="I440" t="inlineStr">
        <is>
          <t>JPMorganChase Data Platform/MLOps Anchor</t>
        </is>
      </c>
      <c r="J440" t="inlineStr">
        <is>
          <t>jpmc_data_mlops_mainline</t>
        </is>
      </c>
      <c r="K440" t="inlineStr">
        <is>
          <t>mainline</t>
        </is>
      </c>
      <c r="L440"/>
      <c r="M440"/>
      <c r="N440"/>
      <c r="O440"/>
      <c r="P440"/>
      <c r="Q440"/>
      <c r="R440">
        <f>HYPERLINK("https://JPMorganChase.contacthr.com/151695013","https://JPMorganChase.contacthr.com/151695013")</f>
      </c>
    </row>
    <row r="441">
      <c r="A441" t="inlineStr">
        <is>
          <t>JPMorganChase</t>
        </is>
      </c>
      <c r="B441" t="inlineStr">
        <is>
          <t>2026-04-03 21:22:01</t>
        </is>
      </c>
      <c r="C441" t="inlineStr">
        <is>
          <t>69d075c9366bb95ba551e7fe</t>
        </is>
      </c>
      <c r="D441" t="inlineStr">
        <is>
          <t>Data Software Engineer II</t>
        </is>
      </c>
      <c r="E441" t="inlineStr">
        <is>
          <t>1_Discovered</t>
        </is>
      </c>
      <c r="F441" t="inlineStr">
        <is>
          <t>seed_source</t>
        </is>
      </c>
      <c r="G441" t="inlineStr">
        <is>
          <t>seed_source</t>
        </is>
      </c>
      <c r="H441" t="inlineStr">
        <is>
          <t>seed_jpmc_data_mlops_anchor</t>
        </is>
      </c>
      <c r="I441" t="inlineStr">
        <is>
          <t>JPMorganChase Data Platform/MLOps Anchor</t>
        </is>
      </c>
      <c r="J441" t="inlineStr">
        <is>
          <t>jpmc_data_mlops_mainline</t>
        </is>
      </c>
      <c r="K441" t="inlineStr">
        <is>
          <t>mainline</t>
        </is>
      </c>
      <c r="L441"/>
      <c r="M441"/>
      <c r="N441">
        <v>94.3</v>
      </c>
      <c r="O441" t="inlineStr">
        <is>
          <t>pass</t>
        </is>
      </c>
      <c r="P441">
        <f>HYPERLINK("file:///Users/jingyizhang/Documents/Playground/projects/local_job_resume_pipeline/data/deliverables/resume_portfolio/by_company/jpmorganchase/2026-04-03/69d075c9366bb95ba551e7fe/resume.md","/Users/jingyizhang/Documents/Playground/projects/local_job_resume_pipeline/data/deliverables/resume_portfolio/by_company/jpmorganchase/2026-04-03/69d075c9366bb95ba551e7fe/resume.md")</f>
      </c>
      <c r="Q441"/>
      <c r="R441">
        <f>HYPERLINK("https://JPMorganChase.contacthr.com/151687766","https://JPMorganChase.contacthr.com/151687766")</f>
      </c>
    </row>
    <row r="442">
      <c r="A442" t="inlineStr">
        <is>
          <t>Profound</t>
        </is>
      </c>
      <c r="B442" t="inlineStr">
        <is>
          <t>2026-04-03 21:21:46</t>
        </is>
      </c>
      <c r="C442" t="inlineStr">
        <is>
          <t>69d075bacfdc6132f943b758</t>
        </is>
      </c>
      <c r="D442" t="inlineStr">
        <is>
          <t>AI/ML Engineer</t>
        </is>
      </c>
      <c r="E442" t="inlineStr">
        <is>
          <t>1_Discovered</t>
        </is>
      </c>
      <c r="F442" t="inlineStr">
        <is>
          <t>fanout_batch</t>
        </is>
      </c>
      <c r="G442" t="inlineStr">
        <is>
          <t>retarget</t>
        </is>
      </c>
      <c r="H442" t="inlineStr">
        <is>
          <t>seed_linkedin_mle_foundation</t>
        </is>
      </c>
      <c r="I442" t="inlineStr">
        <is>
          <t>LinkedIn MLE Foundation</t>
        </is>
      </c>
      <c r="J442"/>
      <c r="K442"/>
      <c r="L442"/>
      <c r="M442"/>
      <c r="N442">
        <v>93.0</v>
      </c>
      <c r="O442" t="inlineStr">
        <is>
          <t>pass</t>
        </is>
      </c>
      <c r="P442">
        <f>HYPERLINK("file:///Users/jingyizhang/Documents/Playground/projects/local_job_resume_pipeline/data/deliverables/resume_portfolio/by_company/profound/2026-04-03/69d075bacfdc6132f943b758/resume.md","/Users/jingyizhang/Documents/Playground/projects/local_job_resume_pipeline/data/deliverables/resume_portfolio/by_company/profound/2026-04-03/69d075bacfdc6132f943b758/resume.md")</f>
      </c>
      <c r="Q442"/>
      <c r="R442">
        <f>HYPERLINK("https://www.tryprofound.com/careers/08484c30-121a-4d1f-961b-09518f14337a?from=careers","https://www.tryprofound.com/careers/08484c30-121a-4d1f-961b-09518f14337a?from=careers")</f>
      </c>
    </row>
    <row r="443">
      <c r="A443" t="inlineStr">
        <is>
          <t>JPMorganChase</t>
        </is>
      </c>
      <c r="B443" t="inlineStr">
        <is>
          <t>2026-04-03 21:11:26</t>
        </is>
      </c>
      <c r="C443" t="inlineStr">
        <is>
          <t>69d0734e0b098b7a6707983b</t>
        </is>
      </c>
      <c r="D443" t="inlineStr">
        <is>
          <t>Software Engineer III- Mainframe Developer</t>
        </is>
      </c>
      <c r="E443" t="inlineStr">
        <is>
          <t>1_Discovered</t>
        </is>
      </c>
      <c r="F443" t="inlineStr">
        <is>
          <t>fanout_batch</t>
        </is>
      </c>
      <c r="G443" t="inlineStr">
        <is>
          <t>reuse</t>
        </is>
      </c>
      <c r="H443" t="inlineStr">
        <is>
          <t>seed_jpmc_data_mlops_anchor</t>
        </is>
      </c>
      <c r="I443" t="inlineStr">
        <is>
          <t>JPMorganChase Data Platform/MLOps Anchor</t>
        </is>
      </c>
      <c r="J443" t="inlineStr">
        <is>
          <t>jpmc_data_mlops_mainline</t>
        </is>
      </c>
      <c r="K443" t="inlineStr">
        <is>
          <t>mainline</t>
        </is>
      </c>
      <c r="L443"/>
      <c r="M443"/>
      <c r="N443"/>
      <c r="O443"/>
      <c r="P443"/>
      <c r="Q443"/>
      <c r="R443">
        <f>HYPERLINK("https://JPMorganChase.contacthr.com/151695028","https://JPMorganChase.contacthr.com/151695028")</f>
      </c>
    </row>
    <row r="444">
      <c r="A444" t="inlineStr">
        <is>
          <t>JPMorganChase</t>
        </is>
      </c>
      <c r="B444" t="inlineStr">
        <is>
          <t>2026-04-03 21:11:25</t>
        </is>
      </c>
      <c r="C444" t="inlineStr">
        <is>
          <t>69d0734d0b098b7a67079836</t>
        </is>
      </c>
      <c r="D444" t="inlineStr">
        <is>
          <t>2026 Asset Wealth Management Machine Learning Engineer - Summer Associate</t>
        </is>
      </c>
      <c r="E444" t="inlineStr">
        <is>
          <t>1_Discovered</t>
        </is>
      </c>
      <c r="F444" t="inlineStr">
        <is>
          <t>fanout_batch</t>
        </is>
      </c>
      <c r="G444" t="inlineStr">
        <is>
          <t>reuse</t>
        </is>
      </c>
      <c r="H444" t="inlineStr">
        <is>
          <t>seed_bytedance_ml_grad</t>
        </is>
      </c>
      <c r="I444" t="inlineStr">
        <is>
          <t>ByteDance ML Grad</t>
        </is>
      </c>
      <c r="J444"/>
      <c r="K444"/>
      <c r="L444"/>
      <c r="M444"/>
      <c r="N444"/>
      <c r="O444"/>
      <c r="P444"/>
      <c r="Q444"/>
      <c r="R444">
        <f>HYPERLINK("https://JPMorganChase.contacthr.com/151694902","https://JPMorganChase.contacthr.com/151694902")</f>
      </c>
    </row>
    <row r="445">
      <c r="A445" t="inlineStr">
        <is>
          <t>Booz Allen Hamilton</t>
        </is>
      </c>
      <c r="B445" t="inlineStr">
        <is>
          <t>2026-04-03 21:11:24</t>
        </is>
      </c>
      <c r="C445" t="inlineStr">
        <is>
          <t>69d0734c0b098b7a67079835</t>
        </is>
      </c>
      <c r="D445" t="inlineStr">
        <is>
          <t>MLOps Engineer</t>
        </is>
      </c>
      <c r="E445" t="inlineStr">
        <is>
          <t>1_Discovered</t>
        </is>
      </c>
      <c r="F445" t="inlineStr">
        <is>
          <t>fanout_batch</t>
        </is>
      </c>
      <c r="G445" t="inlineStr">
        <is>
          <t>retarget</t>
        </is>
      </c>
      <c r="H445" t="inlineStr">
        <is>
          <t>seed_amazon_agi_ml_anchor</t>
        </is>
      </c>
      <c r="I445" t="inlineStr">
        <is>
          <t>Amazon AGI/LLM Anchor</t>
        </is>
      </c>
      <c r="J445" t="inlineStr">
        <is>
          <t>amazon_ai_ads_mainline</t>
        </is>
      </c>
      <c r="K445" t="inlineStr">
        <is>
          <t>mainline</t>
        </is>
      </c>
      <c r="L445"/>
      <c r="M445"/>
      <c r="N445">
        <v>94.3</v>
      </c>
      <c r="O445" t="inlineStr">
        <is>
          <t>pass</t>
        </is>
      </c>
      <c r="P445">
        <f>HYPERLINK("file:///Users/jingyizhang/Documents/Playground/projects/local_job_resume_pipeline/data/deliverables/resume_portfolio/by_company/booz-allen-hamilton/2026-04-03/69d0734c0b098b7a67079835/resume.md","/Users/jingyizhang/Documents/Playground/projects/local_job_resume_pipeline/data/deliverables/resume_portfolio/by_company/booz-allen-hamilton/2026-04-03/69d0734c0b098b7a67079835/resume.md")</f>
      </c>
      <c r="Q445"/>
      <c r="R445">
        <f>HYPERLINK("https://careers.boozallen.com/careers/JobDetail?jobId=122727&amp;source=JB-16500","https://careers.boozallen.com/careers/JobDetail?jobId=122727&amp;source=JB-16500")</f>
      </c>
    </row>
    <row r="446">
      <c r="A446" t="inlineStr">
        <is>
          <t>JPMorganChase</t>
        </is>
      </c>
      <c r="B446" t="inlineStr">
        <is>
          <t>2026-04-03 21:10:48</t>
        </is>
      </c>
      <c r="C446" t="inlineStr">
        <is>
          <t>69d07328366bb95ba551e7a2</t>
        </is>
      </c>
      <c r="D446" t="inlineStr">
        <is>
          <t>Data Scientist Associate - Payments</t>
        </is>
      </c>
      <c r="E446" t="inlineStr">
        <is>
          <t>1_Discovered</t>
        </is>
      </c>
      <c r="F446" t="inlineStr">
        <is>
          <t>fanout_batch</t>
        </is>
      </c>
      <c r="G446" t="inlineStr">
        <is>
          <t>reuse</t>
        </is>
      </c>
      <c r="H446" t="inlineStr">
        <is>
          <t>seed_jpmc_data_mlops_anchor</t>
        </is>
      </c>
      <c r="I446" t="inlineStr">
        <is>
          <t>JPMorganChase Data Platform/MLOps Anchor</t>
        </is>
      </c>
      <c r="J446" t="inlineStr">
        <is>
          <t>jpmc_data_mlops_mainline</t>
        </is>
      </c>
      <c r="K446" t="inlineStr">
        <is>
          <t>mainline</t>
        </is>
      </c>
      <c r="L446"/>
      <c r="M446"/>
      <c r="N446"/>
      <c r="O446"/>
      <c r="P446"/>
      <c r="Q446"/>
      <c r="R446">
        <f>HYPERLINK("https://JPMorganChase.contacthr.com/151695022","https://JPMorganChase.contacthr.com/151695022")</f>
      </c>
    </row>
    <row r="447">
      <c r="A447" t="inlineStr">
        <is>
          <t>U.S. Bank</t>
        </is>
      </c>
      <c r="B447" t="inlineStr">
        <is>
          <t>2026-04-03 21:05:26</t>
        </is>
      </c>
      <c r="C447" t="inlineStr">
        <is>
          <t>69d071e6891d7b11cfcdb7b1</t>
        </is>
      </c>
      <c r="D447" t="inlineStr">
        <is>
          <t>IAM Integration Engineer</t>
        </is>
      </c>
      <c r="E447" t="inlineStr">
        <is>
          <t>1_Discovered</t>
        </is>
      </c>
      <c r="F447" t="inlineStr">
        <is>
          <t>fanout_batch</t>
        </is>
      </c>
      <c r="G447" t="inlineStr">
        <is>
          <t>retarget</t>
        </is>
      </c>
      <c r="H447" t="inlineStr">
        <is>
          <t>seed_fireblocks_sre_anchor</t>
        </is>
      </c>
      <c r="I447" t="inlineStr">
        <is>
          <t>Fireblocks SRE Anchor</t>
        </is>
      </c>
      <c r="J447"/>
      <c r="K447"/>
      <c r="L447"/>
      <c r="M447"/>
      <c r="N447">
        <v>93.5</v>
      </c>
      <c r="O447" t="inlineStr">
        <is>
          <t>pass</t>
        </is>
      </c>
      <c r="P447">
        <f>HYPERLINK("file:///Users/jingyizhang/Documents/Playground/projects/local_job_resume_pipeline/data/deliverables/resume_portfolio/by_company/u-s-bank/2026-04-03/69d071e6891d7b11cfcdb7b1/resume.md","/Users/jingyizhang/Documents/Playground/projects/local_job_resume_pipeline/data/deliverables/resume_portfolio/by_company/u-s-bank/2026-04-03/69d071e6891d7b11cfcdb7b1/resume.md")</f>
      </c>
      <c r="Q447"/>
      <c r="R447">
        <f>HYPERLINK("https://careers.usbank.com/global/en/job/UBNAGLOBAL20260002703EXTERNALENGLOBAL/IAM-Integration-Engineer?utm_source=linkedin&amp;utm_medium=phenom-feeds","https://careers.usbank.com/global/en/job/UBNAGLOBAL20260002703EXTERNALENGLOBAL/IAM-Integration-Engineer?utm_source=linkedin&amp;utm_medium=phenom-feeds")</f>
      </c>
    </row>
    <row r="448">
      <c r="A448" t="inlineStr">
        <is>
          <t>Etsy</t>
        </is>
      </c>
      <c r="B448" t="inlineStr">
        <is>
          <t>2026-04-03 21:05:18</t>
        </is>
      </c>
      <c r="C448" t="inlineStr">
        <is>
          <t>69d071de0b098b7a67079716</t>
        </is>
      </c>
      <c r="D448" t="inlineStr">
        <is>
          <t>Data Scientist, Customer Support Analytics</t>
        </is>
      </c>
      <c r="E448" t="inlineStr">
        <is>
          <t>1_Discovered</t>
        </is>
      </c>
      <c r="F448" t="inlineStr">
        <is>
          <t>fanout_batch</t>
        </is>
      </c>
      <c r="G448" t="inlineStr">
        <is>
          <t>reuse</t>
        </is>
      </c>
      <c r="H448" t="inlineStr">
        <is>
          <t>seed_plaid_data_scientist</t>
        </is>
      </c>
      <c r="I448" t="inlineStr">
        <is>
          <t>Plaid Data Scientist</t>
        </is>
      </c>
      <c r="J448"/>
      <c r="K448"/>
      <c r="L448"/>
      <c r="M448"/>
      <c r="N448"/>
      <c r="O448"/>
      <c r="P448"/>
      <c r="Q448"/>
      <c r="R448">
        <f>HYPERLINK("https://etsy.wd5.myworkdayjobs.com/Etsy_Careers/job/Brooklyn-New-York/Data-Scientist--Customer-Support-Analytics_JR5492-1?source=LinkedIn","https://etsy.wd5.myworkdayjobs.com/Etsy_Careers/job/Brooklyn-New-York/Data-Scientist--Customer-Support-Analytics_JR5492-1?source=LinkedIn")</f>
      </c>
    </row>
    <row r="449">
      <c r="A449" t="inlineStr">
        <is>
          <t>Airbnb</t>
        </is>
      </c>
      <c r="B449" t="inlineStr">
        <is>
          <t>2026-04-03 20:59:27</t>
        </is>
      </c>
      <c r="C449" t="inlineStr">
        <is>
          <t>69d0707f891d7b11cfcdb55d</t>
        </is>
      </c>
      <c r="D449" t="inlineStr">
        <is>
          <t>Software Engineer, Payments</t>
        </is>
      </c>
      <c r="E449" t="inlineStr">
        <is>
          <t>1_Discovered</t>
        </is>
      </c>
      <c r="F449" t="inlineStr">
        <is>
          <t>fanout_batch</t>
        </is>
      </c>
      <c r="G449" t="inlineStr">
        <is>
          <t>reuse</t>
        </is>
      </c>
      <c r="H449" t="inlineStr">
        <is>
          <t>seed_codex_google_fullstack</t>
        </is>
      </c>
      <c r="I449" t="inlineStr">
        <is>
          <t>Google Full Stack</t>
        </is>
      </c>
      <c r="J449" t="inlineStr">
        <is>
          <t>google_product_ai_mainline</t>
        </is>
      </c>
      <c r="K449" t="inlineStr">
        <is>
          <t>mainline</t>
        </is>
      </c>
      <c r="L449"/>
      <c r="M449"/>
      <c r="N449"/>
      <c r="O449"/>
      <c r="P449"/>
      <c r="Q449"/>
      <c r="R449">
        <f>HYPERLINK("https://careers.airbnb.com/positions/7779006?gh_src=34ewj2","https://careers.airbnb.com/positions/7779006?gh_src=34ewj2")</f>
      </c>
    </row>
    <row r="450">
      <c r="A450" t="inlineStr">
        <is>
          <t>Eve</t>
        </is>
      </c>
      <c r="B450" t="inlineStr">
        <is>
          <t>2026-04-03 20:34:29</t>
        </is>
      </c>
      <c r="C450" t="inlineStr">
        <is>
          <t>69d06aa5cdb525785fbaa27e</t>
        </is>
      </c>
      <c r="D450" t="inlineStr">
        <is>
          <t>Technical Support Engineer</t>
        </is>
      </c>
      <c r="E450" t="inlineStr">
        <is>
          <t>1_Discovered</t>
        </is>
      </c>
      <c r="F450" t="inlineStr">
        <is>
          <t>fanout_batch</t>
        </is>
      </c>
      <c r="G450" t="inlineStr">
        <is>
          <t>reuse</t>
        </is>
      </c>
      <c r="H450" t="inlineStr">
        <is>
          <t>seed_aws_generalist_embedded</t>
        </is>
      </c>
      <c r="I450" t="inlineStr">
        <is>
          <t>AWS Generalist Embedded</t>
        </is>
      </c>
      <c r="J450"/>
      <c r="K450"/>
      <c r="L450"/>
      <c r="M450"/>
      <c r="N450"/>
      <c r="O450"/>
      <c r="P450"/>
      <c r="Q450"/>
      <c r="R450">
        <f>HYPERLINK("https://boards.greenhouse.io/embed/job_app?token=4207427009&amp;utm_source=jobright","https://boards.greenhouse.io/embed/job_app?token=4207427009&amp;utm_source=jobright")</f>
      </c>
    </row>
    <row r="451">
      <c r="A451" t="inlineStr">
        <is>
          <t>Eve</t>
        </is>
      </c>
      <c r="B451" t="inlineStr">
        <is>
          <t>2026-04-03 20:27:24</t>
        </is>
      </c>
      <c r="C451" t="inlineStr">
        <is>
          <t>69d068fccfdc6132f943b20d</t>
        </is>
      </c>
      <c r="D451" t="inlineStr">
        <is>
          <t>Product Engineer (Full Stack)</t>
        </is>
      </c>
      <c r="E451" t="inlineStr">
        <is>
          <t>1_Discovered</t>
        </is>
      </c>
      <c r="F451" t="inlineStr">
        <is>
          <t>seed_validation</t>
        </is>
      </c>
      <c r="G451" t="inlineStr">
        <is>
          <t>reuse</t>
        </is>
      </c>
      <c r="H451" t="inlineStr">
        <is>
          <t>seed_egen_fullstack_node</t>
        </is>
      </c>
      <c r="I451" t="inlineStr">
        <is>
          <t>Egen Fullstack Node</t>
        </is>
      </c>
      <c r="J451"/>
      <c r="K451"/>
      <c r="L451"/>
      <c r="M451"/>
      <c r="N451"/>
      <c r="O451"/>
      <c r="P451"/>
      <c r="Q451"/>
      <c r="R451">
        <f>HYPERLINK("https://www.linkedin.com/jobs/view/4397415002","https://www.linkedin.com/jobs/view/4397415002")</f>
      </c>
    </row>
    <row r="452">
      <c r="A452" t="inlineStr">
        <is>
          <t>Eve</t>
        </is>
      </c>
      <c r="B452" t="inlineStr">
        <is>
          <t>2026-04-03 20:27:10</t>
        </is>
      </c>
      <c r="C452" t="inlineStr">
        <is>
          <t>69d068eecdb525785fbaa1b6</t>
        </is>
      </c>
      <c r="D452" t="inlineStr">
        <is>
          <t>Product Engineer (Front-End Leaning)</t>
        </is>
      </c>
      <c r="E452" t="inlineStr">
        <is>
          <t>1_Discovered</t>
        </is>
      </c>
      <c r="F452" t="inlineStr">
        <is>
          <t>seed_validation</t>
        </is>
      </c>
      <c r="G452" t="inlineStr">
        <is>
          <t>reuse</t>
        </is>
      </c>
      <c r="H452" t="inlineStr">
        <is>
          <t>seed_frontend_web_perf</t>
        </is>
      </c>
      <c r="I452" t="inlineStr">
        <is>
          <t>Frontend Web Performance</t>
        </is>
      </c>
      <c r="J452"/>
      <c r="K452"/>
      <c r="L452"/>
      <c r="M452"/>
      <c r="N452"/>
      <c r="O452"/>
      <c r="P452"/>
      <c r="Q452"/>
      <c r="R452">
        <f>HYPERLINK("https://www.linkedin.com/jobs/view/4397399770","https://www.linkedin.com/jobs/view/4397399770")</f>
      </c>
    </row>
    <row r="453">
      <c r="A453" t="inlineStr">
        <is>
          <t>Extensiv</t>
        </is>
      </c>
      <c r="B453" t="inlineStr">
        <is>
          <t>2026-04-03 20:10:10</t>
        </is>
      </c>
      <c r="C453" t="inlineStr">
        <is>
          <t>69d064f2891d7b11cfcdb1dd</t>
        </is>
      </c>
      <c r="D453" t="inlineStr">
        <is>
          <t>Software Engineer</t>
        </is>
      </c>
      <c r="E453" t="inlineStr">
        <is>
          <t>1_Discovered</t>
        </is>
      </c>
      <c r="F453" t="inlineStr">
        <is>
          <t>fanout_batch</t>
        </is>
      </c>
      <c r="G453" t="inlineStr">
        <is>
          <t>retarget</t>
        </is>
      </c>
      <c r="H453" t="inlineStr">
        <is>
          <t>seed_paypal_java_backend</t>
        </is>
      </c>
      <c r="I453" t="inlineStr">
        <is>
          <t>PayPal Java Backend</t>
        </is>
      </c>
      <c r="J453"/>
      <c r="K453"/>
      <c r="L453"/>
      <c r="M453"/>
      <c r="N453">
        <v>93.2</v>
      </c>
      <c r="O453" t="inlineStr">
        <is>
          <t>pass</t>
        </is>
      </c>
      <c r="P453">
        <f>HYPERLINK("file:///Users/jingyizhang/Documents/Playground/projects/local_job_resume_pipeline/data/deliverables/resume_portfolio/by_company/extensiv/2026-04-03/69d064f2891d7b11cfcdb1dd/resume.md","/Users/jingyizhang/Documents/Playground/projects/local_job_resume_pipeline/data/deliverables/resume_portfolio/by_company/extensiv/2026-04-03/69d064f2891d7b11cfcdb1dd/resume.md")</f>
      </c>
      <c r="Q453"/>
      <c r="R453">
        <f>HYPERLINK("https://extensiv.bamboohr.com/careers/322?source=aWQ9MjA%3D","https://extensiv.bamboohr.com/careers/322?source=aWQ9MjA%3D")</f>
      </c>
    </row>
    <row r="454">
      <c r="A454" t="inlineStr">
        <is>
          <t>American Fidelity</t>
        </is>
      </c>
      <c r="B454" t="inlineStr">
        <is>
          <t>2026-04-03 20:04:54</t>
        </is>
      </c>
      <c r="C454" t="inlineStr">
        <is>
          <t>69d063b60b098b7a67079136</t>
        </is>
      </c>
      <c r="D454" t="inlineStr">
        <is>
          <t>Software Engineer</t>
        </is>
      </c>
      <c r="E454" t="inlineStr">
        <is>
          <t>1_Discovered</t>
        </is>
      </c>
      <c r="F454" t="inlineStr">
        <is>
          <t>seed_validation</t>
        </is>
      </c>
      <c r="G454" t="inlineStr">
        <is>
          <t>reuse</t>
        </is>
      </c>
      <c r="H454" t="inlineStr">
        <is>
          <t>seed_generalist_dotnet_enterprise</t>
        </is>
      </c>
      <c r="I454" t="inlineStr">
        <is>
          <t>Generalist DotNet Enterprise</t>
        </is>
      </c>
      <c r="J454"/>
      <c r="K454"/>
      <c r="L454"/>
      <c r="M454"/>
      <c r="N454"/>
      <c r="O454"/>
      <c r="P454"/>
      <c r="Q454"/>
      <c r="R454">
        <f>HYPERLINK("https://americanfidelity.wd5.myworkdayjobs.com/en-US/External/job/Oklahoma-City-Oklahoma/Software-Engineer_JR513-1?source=LinkedIn","https://americanfidelity.wd5.myworkdayjobs.com/en-US/External/job/Oklahoma-City-Oklahoma/Software-Engineer_JR513-1?source=LinkedIn")</f>
      </c>
    </row>
    <row r="455">
      <c r="A455" t="inlineStr">
        <is>
          <t>Meltwater</t>
        </is>
      </c>
      <c r="B455" t="inlineStr">
        <is>
          <t>2026-04-03 20:00:19</t>
        </is>
      </c>
      <c r="C455" t="inlineStr">
        <is>
          <t>69d062a3cdb525785fbaa061</t>
        </is>
      </c>
      <c r="D455" t="inlineStr">
        <is>
          <t>Machine Learning Engineer</t>
        </is>
      </c>
      <c r="E455" t="inlineStr">
        <is>
          <t>1_Discovered</t>
        </is>
      </c>
      <c r="F455" t="inlineStr">
        <is>
          <t>fanout_batch</t>
        </is>
      </c>
      <c r="G455" t="inlineStr">
        <is>
          <t>retarget</t>
        </is>
      </c>
      <c r="H455" t="inlineStr">
        <is>
          <t>seed_plaid_data_scientist</t>
        </is>
      </c>
      <c r="I455" t="inlineStr">
        <is>
          <t>Plaid Data Scientist</t>
        </is>
      </c>
      <c r="J455"/>
      <c r="K455"/>
      <c r="L455"/>
      <c r="M455"/>
      <c r="N455">
        <v>84.6</v>
      </c>
      <c r="O455" t="inlineStr">
        <is>
          <t>fail</t>
        </is>
      </c>
      <c r="P455">
        <f>HYPERLINK("file:///Users/jingyizhang/Documents/Playground/projects/local_job_resume_pipeline/data/deliverables/resume_portfolio/by_company/meltwater/2026-04-03/69d062a3cdb525785fbaa061/resume.md","/Users/jingyizhang/Documents/Playground/projects/local_job_resume_pipeline/data/deliverables/resume_portfolio/by_company/meltwater/2026-04-03/69d062a3cdb525785fbaa061/resume.md")</f>
      </c>
      <c r="Q455"/>
      <c r="R455">
        <f>HYPERLINK("https://jobs.jobvite.com/meltwater/job/oyoczfwr","https://jobs.jobvite.com/meltwater/job/oyoczfwr")</f>
      </c>
    </row>
    <row r="456">
      <c r="A456" t="inlineStr">
        <is>
          <t>Microsoft</t>
        </is>
      </c>
      <c r="B456" t="inlineStr">
        <is>
          <t>2026-04-03 19:42:28</t>
        </is>
      </c>
      <c r="C456" t="inlineStr">
        <is>
          <t>69d05e740b098b7a67078b11</t>
        </is>
      </c>
      <c r="D456" t="inlineStr">
        <is>
          <t>Software Engineer II</t>
        </is>
      </c>
      <c r="E456" t="inlineStr">
        <is>
          <t>1_Discovered</t>
        </is>
      </c>
      <c r="F456" t="inlineStr">
        <is>
          <t>fanout_batch</t>
        </is>
      </c>
      <c r="G456" t="inlineStr">
        <is>
          <t>reuse</t>
        </is>
      </c>
      <c r="H456" t="inlineStr">
        <is>
          <t>seed_microsoft_coreai_platform_anchor</t>
        </is>
      </c>
      <c r="I456" t="inlineStr">
        <is>
          <t>Microsoft CoreAI/BIC Platform Anchor</t>
        </is>
      </c>
      <c r="J456"/>
      <c r="K456"/>
      <c r="L456"/>
      <c r="M456"/>
      <c r="N456"/>
      <c r="O456"/>
      <c r="P456"/>
      <c r="Q456"/>
      <c r="R456">
        <f>HYPERLINK("https://apply.careers.microsoft.com/careers/job/1970393556620764?utm_source=linkedin&amp;domain=microsoft.com&amp;src=LinkedIn","https://apply.careers.microsoft.com/careers/job/1970393556620764?utm_source=linkedin&amp;domain=microsoft.com&amp;src=LinkedIn")</f>
      </c>
    </row>
    <row r="457">
      <c r="A457" t="inlineStr">
        <is>
          <t>Microsoft</t>
        </is>
      </c>
      <c r="B457" t="inlineStr">
        <is>
          <t>2026-04-03 19:42:22</t>
        </is>
      </c>
      <c r="C457" t="inlineStr">
        <is>
          <t>69d05e6ecfdc6132f943aa06</t>
        </is>
      </c>
      <c r="D457" t="inlineStr">
        <is>
          <t>Senior Applied Scientist</t>
        </is>
      </c>
      <c r="E457" t="inlineStr">
        <is>
          <t>1_Discovered</t>
        </is>
      </c>
      <c r="F457" t="inlineStr">
        <is>
          <t>fanout_batch</t>
        </is>
      </c>
      <c r="G457" t="inlineStr">
        <is>
          <t>retarget</t>
        </is>
      </c>
      <c r="H457" t="inlineStr">
        <is>
          <t>seed_bytedance_ml_grad</t>
        </is>
      </c>
      <c r="I457" t="inlineStr">
        <is>
          <t>ByteDance ML Grad</t>
        </is>
      </c>
      <c r="J457"/>
      <c r="K457"/>
      <c r="L457"/>
      <c r="M457"/>
      <c r="N457">
        <v>96.3</v>
      </c>
      <c r="O457" t="inlineStr">
        <is>
          <t>pass</t>
        </is>
      </c>
      <c r="P457">
        <f>HYPERLINK("file:///Users/jingyizhang/Documents/Playground/projects/local_job_resume_pipeline/data/deliverables/resume_portfolio/by_company/microsoft/2026-04-03/69d05e6ecfdc6132f943aa06/resume.md","/Users/jingyizhang/Documents/Playground/projects/local_job_resume_pipeline/data/deliverables/resume_portfolio/by_company/microsoft/2026-04-03/69d05e6ecfdc6132f943aa06/resume.md")</f>
      </c>
      <c r="Q457"/>
      <c r="R457">
        <f>HYPERLINK("https://apply.careers.microsoft.com/careers/job/1970393556652610?utm_source=linkedin&amp;domain=microsoft.com&amp;src=LinkedIn","https://apply.careers.microsoft.com/careers/job/1970393556652610?utm_source=linkedin&amp;domain=microsoft.com&amp;src=LinkedIn")</f>
      </c>
    </row>
    <row r="458">
      <c r="A458" t="inlineStr">
        <is>
          <t>Dow Jones</t>
        </is>
      </c>
      <c r="B458" t="inlineStr">
        <is>
          <t>2026-04-03 19:30:29</t>
        </is>
      </c>
      <c r="C458" t="inlineStr">
        <is>
          <t>69d05ba5891d7b11cfcdac1e</t>
        </is>
      </c>
      <c r="D458" t="inlineStr">
        <is>
          <t>Business Analyst</t>
        </is>
      </c>
      <c r="E458" t="inlineStr">
        <is>
          <t>1_Discovered</t>
        </is>
      </c>
      <c r="F458" t="inlineStr">
        <is>
          <t>seed_validation</t>
        </is>
      </c>
      <c r="G458" t="inlineStr">
        <is>
          <t>reuse</t>
        </is>
      </c>
      <c r="H458" t="inlineStr">
        <is>
          <t>seed_generalist_dotnet_enterprise</t>
        </is>
      </c>
      <c r="I458" t="inlineStr">
        <is>
          <t>Generalist DotNet Enterprise</t>
        </is>
      </c>
      <c r="J458"/>
      <c r="K458"/>
      <c r="L458"/>
      <c r="M458"/>
      <c r="N458"/>
      <c r="O458"/>
      <c r="P458"/>
      <c r="Q458"/>
      <c r="R458">
        <f>HYPERLINK("http://dowjones.jobs/8C9806421183454FA73CFBE03B57AAFA/job/?vs=1606&amp;utm_source=LinkedIn.com-DE&amp;utm_medium=Social%20Media&amp;utm_campaign=LinkedIn.com","http://dowjones.jobs/8C9806421183454FA73CFBE03B57AAFA/job/?vs=1606&amp;utm_source=LinkedIn.com-DE&amp;utm_medium=Social%20Media&amp;utm_campaign=LinkedIn.com")</f>
      </c>
    </row>
    <row r="459">
      <c r="A459" t="inlineStr">
        <is>
          <t>IXL Learning</t>
        </is>
      </c>
      <c r="B459" t="inlineStr">
        <is>
          <t>2026-04-03 19:29:29</t>
        </is>
      </c>
      <c r="C459" t="inlineStr">
        <is>
          <t>69d05b69cfdc6132f943a950</t>
        </is>
      </c>
      <c r="D459" t="inlineStr">
        <is>
          <t>Software Engineer, New Grad</t>
        </is>
      </c>
      <c r="E459" t="inlineStr">
        <is>
          <t>1_Discovered</t>
        </is>
      </c>
      <c r="F459" t="inlineStr">
        <is>
          <t>retarget_trial</t>
        </is>
      </c>
      <c r="G459" t="inlineStr">
        <is>
          <t>reuse</t>
        </is>
      </c>
      <c r="H459" t="inlineStr">
        <is>
          <t>candidate_microsoft_polyglot_generalist</t>
        </is>
      </c>
      <c r="I459" t="inlineStr">
        <is>
          <t>Microsoft Polyglot Generalist</t>
        </is>
      </c>
      <c r="J459"/>
      <c r="K459"/>
      <c r="L459"/>
      <c r="M459"/>
      <c r="N459"/>
      <c r="O459"/>
      <c r="P459"/>
      <c r="Q459"/>
      <c r="R459">
        <f>HYPERLINK("https://boards.greenhouse.io/embed/job_app?token=8486920002&amp;utm_source=jobright","https://boards.greenhouse.io/embed/job_app?token=8486920002&amp;utm_source=jobright")</f>
      </c>
    </row>
    <row r="460">
      <c r="A460" t="inlineStr">
        <is>
          <t>InterSystems</t>
        </is>
      </c>
      <c r="B460" t="inlineStr">
        <is>
          <t>2026-04-03 19:24:36</t>
        </is>
      </c>
      <c r="C460" t="inlineStr">
        <is>
          <t>699dc28c81476f6176b6a5ca</t>
        </is>
      </c>
      <c r="D460" t="inlineStr">
        <is>
          <t>Applications Developer</t>
        </is>
      </c>
      <c r="E460" t="inlineStr">
        <is>
          <t>1_Discovered</t>
        </is>
      </c>
      <c r="F460" t="inlineStr">
        <is>
          <t>fanout_batch</t>
        </is>
      </c>
      <c r="G460" t="inlineStr">
        <is>
          <t>reuse</t>
        </is>
      </c>
      <c r="H460" t="inlineStr">
        <is>
          <t>seed_generalist_dotnet_enterprise</t>
        </is>
      </c>
      <c r="I460" t="inlineStr">
        <is>
          <t>Generalist DotNet Enterprise</t>
        </is>
      </c>
      <c r="J460"/>
      <c r="K460"/>
      <c r="L460"/>
      <c r="M460"/>
      <c r="N460"/>
      <c r="O460"/>
      <c r="P460"/>
      <c r="Q460"/>
      <c r="R460">
        <f>HYPERLINK("https://boards.greenhouse.io/embed/job_app?token=7537657003&amp;utm_source=jobright","https://boards.greenhouse.io/embed/job_app?token=7537657003&amp;utm_source=jobright")</f>
      </c>
    </row>
    <row r="461">
      <c r="A461" t="inlineStr">
        <is>
          <t>Tealium</t>
        </is>
      </c>
      <c r="B461" t="inlineStr">
        <is>
          <t>2026-04-03 19:24:08</t>
        </is>
      </c>
      <c r="C461" t="inlineStr">
        <is>
          <t>69d05a280b098b7a67078a44</t>
        </is>
      </c>
      <c r="D461" t="inlineStr">
        <is>
          <t>QA Engineer (Remote)</t>
        </is>
      </c>
      <c r="E461" t="inlineStr">
        <is>
          <t>1_Discovered</t>
        </is>
      </c>
      <c r="F461" t="inlineStr">
        <is>
          <t>fanout_batch</t>
        </is>
      </c>
      <c r="G461" t="inlineStr">
        <is>
          <t>retarget</t>
        </is>
      </c>
      <c r="H461" t="inlineStr">
        <is>
          <t>seed_magnite_sdet</t>
        </is>
      </c>
      <c r="I461" t="inlineStr">
        <is>
          <t>Magnite SDET</t>
        </is>
      </c>
      <c r="J461"/>
      <c r="K461"/>
      <c r="L461"/>
      <c r="M461"/>
      <c r="N461">
        <v>84.6</v>
      </c>
      <c r="O461" t="inlineStr">
        <is>
          <t>fail</t>
        </is>
      </c>
      <c r="P461">
        <f>HYPERLINK("file:///Users/jingyizhang/Documents/Playground/projects/local_job_resume_pipeline/data/deliverables/resume_portfolio/by_company/tealium/2026-04-03/69d05a280b098b7a67078a44/resume.md","/Users/jingyizhang/Documents/Playground/projects/local_job_resume_pipeline/data/deliverables/resume_portfolio/by_company/tealium/2026-04-03/69d05a280b098b7a67078a44/resume.md")</f>
      </c>
      <c r="Q461"/>
      <c r="R461">
        <f>HYPERLINK("https://tealium.wd1.myworkdayjobs.com/Careers/job/Remote-USA/QA-Engineer--Remote-_?source=LinkedIn","https://tealium.wd1.myworkdayjobs.com/Careers/job/Remote-USA/QA-Engineer--Remote-_?source=LinkedIn")</f>
      </c>
    </row>
    <row r="462">
      <c r="A462" t="inlineStr">
        <is>
          <t>Equifax</t>
        </is>
      </c>
      <c r="B462" t="inlineStr">
        <is>
          <t>2026-04-03 19:22:41</t>
        </is>
      </c>
      <c r="C462" t="inlineStr">
        <is>
          <t>69d059d1891d7b11cfcdaba2</t>
        </is>
      </c>
      <c r="D462" t="inlineStr">
        <is>
          <t>Data Analyst - AI Product Development</t>
        </is>
      </c>
      <c r="E462" t="inlineStr">
        <is>
          <t>1_Discovered</t>
        </is>
      </c>
      <c r="F462" t="inlineStr">
        <is>
          <t>fanout_batch</t>
        </is>
      </c>
      <c r="G462" t="inlineStr">
        <is>
          <t>retarget</t>
        </is>
      </c>
      <c r="H462" t="inlineStr">
        <is>
          <t>seed_qualified_health_data_engineer</t>
        </is>
      </c>
      <c r="I462" t="inlineStr">
        <is>
          <t>Qualified Health Data Engineer</t>
        </is>
      </c>
      <c r="J462"/>
      <c r="K462"/>
      <c r="L462"/>
      <c r="M462"/>
      <c r="N462">
        <v>86.0</v>
      </c>
      <c r="O462" t="inlineStr">
        <is>
          <t>fail</t>
        </is>
      </c>
      <c r="P462">
        <f>HYPERLINK("file:///Users/jingyizhang/Documents/Playground/projects/local_job_resume_pipeline/data/deliverables/resume_portfolio/by_company/equifax/2026-04-03/69d059d1891d7b11cfcdaba2/resume.md","/Users/jingyizhang/Documents/Playground/projects/local_job_resume_pipeline/data/deliverables/resume_portfolio/by_company/equifax/2026-04-03/69d059d1891d7b11cfcdaba2/resume.md")</f>
      </c>
      <c r="Q462"/>
      <c r="R462">
        <f>HYPERLINK("https://careers.equifax.com/en/jobs/j00176164/data-analyst-ai-product-development/?source=Applied_LinkedIn","https://careers.equifax.com/en/jobs/j00176164/data-analyst-ai-product-development/?source=Applied_LinkedIn")</f>
      </c>
    </row>
    <row r="463">
      <c r="A463" t="inlineStr">
        <is>
          <t>Equifax</t>
        </is>
      </c>
      <c r="B463" t="inlineStr">
        <is>
          <t>2026-04-03 19:22:16</t>
        </is>
      </c>
      <c r="C463" t="inlineStr">
        <is>
          <t>69d059b854f00230c6d1150f</t>
        </is>
      </c>
      <c r="D463" t="inlineStr">
        <is>
          <t>Machine Learning Engineer</t>
        </is>
      </c>
      <c r="E463" t="inlineStr">
        <is>
          <t>1_Discovered</t>
        </is>
      </c>
      <c r="F463" t="inlineStr">
        <is>
          <t>fanout_batch</t>
        </is>
      </c>
      <c r="G463" t="inlineStr">
        <is>
          <t>retarget</t>
        </is>
      </c>
      <c r="H463" t="inlineStr">
        <is>
          <t>seed_bytedance_ml_grad</t>
        </is>
      </c>
      <c r="I463" t="inlineStr">
        <is>
          <t>ByteDance ML Grad</t>
        </is>
      </c>
      <c r="J463"/>
      <c r="K463"/>
      <c r="L463"/>
      <c r="M463"/>
      <c r="N463">
        <v>94.2</v>
      </c>
      <c r="O463" t="inlineStr">
        <is>
          <t>pass</t>
        </is>
      </c>
      <c r="P463">
        <f>HYPERLINK("file:///Users/jingyizhang/Documents/Playground/projects/local_job_resume_pipeline/data/deliverables/resume_portfolio/by_company/equifax/2026-04-03/69d059b854f00230c6d1150f/resume.md","/Users/jingyizhang/Documents/Playground/projects/local_job_resume_pipeline/data/deliverables/resume_portfolio/by_company/equifax/2026-04-03/69d059b854f00230c6d1150f/resume.md")</f>
      </c>
      <c r="Q463"/>
      <c r="R463">
        <f>HYPERLINK("https://careers.equifax.com/en/jobs/j00176123/machine-learning-engineer/?source=Applied_LinkedIn","https://careers.equifax.com/en/jobs/j00176123/machine-learning-engineer/?source=Applied_LinkedIn")</f>
      </c>
    </row>
    <row r="464">
      <c r="A464" t="inlineStr">
        <is>
          <t>Amazon Music</t>
        </is>
      </c>
      <c r="B464" t="inlineStr">
        <is>
          <t>2026-04-03 19:17:18</t>
        </is>
      </c>
      <c r="C464" t="inlineStr">
        <is>
          <t>69d0588ecdb525785fba98fc</t>
        </is>
      </c>
      <c r="D464" t="inlineStr">
        <is>
          <t>Data Scientist, Amazon Music - DISCO</t>
        </is>
      </c>
      <c r="E464" t="inlineStr">
        <is>
          <t>1_Discovered</t>
        </is>
      </c>
      <c r="F464" t="inlineStr">
        <is>
          <t>fanout_batch</t>
        </is>
      </c>
      <c r="G464" t="inlineStr">
        <is>
          <t>reuse</t>
        </is>
      </c>
      <c r="H464" t="inlineStr">
        <is>
          <t>seed_plaid_data_scientist</t>
        </is>
      </c>
      <c r="I464" t="inlineStr">
        <is>
          <t>Plaid Data Scientist</t>
        </is>
      </c>
      <c r="J464"/>
      <c r="K464"/>
      <c r="L464"/>
      <c r="M464"/>
      <c r="N464"/>
      <c r="O464"/>
      <c r="P464"/>
      <c r="Q464"/>
      <c r="R464">
        <f>HYPERLINK("https://www.amazon.jobs/jobs/10383358/data-scientist-amazon-music--disco?cmpid=SPLICX0248M&amp;utm_source=linkedin.com&amp;utm_campaign=cxro&amp;utm_medium=social_media&amp;utm_content=job_posting&amp;ss=paid","https://www.amazon.jobs/jobs/10383358/data-scientist-amazon-music--disco?cmpid=SPLICX0248M&amp;utm_source=linkedin.com&amp;utm_campaign=cxro&amp;utm_medium=social_media&amp;utm_content=job_posting&amp;ss=paid")</f>
      </c>
    </row>
    <row r="465">
      <c r="A465" t="inlineStr">
        <is>
          <t>Amazon</t>
        </is>
      </c>
      <c r="B465" t="inlineStr">
        <is>
          <t>2026-04-03 19:17:11</t>
        </is>
      </c>
      <c r="C465" t="inlineStr">
        <is>
          <t>69d05887cfdc6132f943a843</t>
        </is>
      </c>
      <c r="D465" t="inlineStr">
        <is>
          <t>Robotics - Software Development Engineer</t>
        </is>
      </c>
      <c r="E465" t="inlineStr">
        <is>
          <t>1_Discovered</t>
        </is>
      </c>
      <c r="F465" t="inlineStr">
        <is>
          <t>retarget_trial</t>
        </is>
      </c>
      <c r="G465" t="inlineStr">
        <is>
          <t>retarget</t>
        </is>
      </c>
      <c r="H465" t="inlineStr">
        <is>
          <t>seed_amazon_management_plane_anchor_candidate</t>
        </is>
      </c>
      <c r="I465" t="inlineStr">
        <is>
          <t>Amazon Management Plane Anchor</t>
        </is>
      </c>
      <c r="J465" t="inlineStr">
        <is>
          <t>amazon_platform_mainline</t>
        </is>
      </c>
      <c r="K465" t="inlineStr">
        <is>
          <t>mainline</t>
        </is>
      </c>
      <c r="L465" t="inlineStr">
        <is>
          <t>yes</t>
        </is>
      </c>
      <c r="M465" t="inlineStr">
        <is>
          <t>amazon_robotics_outlier</t>
        </is>
      </c>
      <c r="N465">
        <v>90.1</v>
      </c>
      <c r="O465" t="inlineStr">
        <is>
          <t>conditional_pass</t>
        </is>
      </c>
      <c r="P465">
        <f>HYPERLINK("file:///Users/jingyizhang/Documents/Playground/projects/local_job_resume_pipeline/data/deliverables/resume_portfolio/by_company/amazon/2026-04-03/69d05887cfdc6132f943a843/resume.md","/Users/jingyizhang/Documents/Playground/projects/local_job_resume_pipeline/data/deliverables/resume_portfolio/by_company/amazon/2026-04-03/69d05887cfdc6132f943a843/resume.md")</f>
      </c>
      <c r="Q465"/>
      <c r="R465">
        <f>HYPERLINK("https://www.amazon.jobs/jobs/10383254/robotics--software-development-engineer-?cmpid=SPLICX0248M&amp;utm_source=linkedin.com&amp;utm_campaign=cxro&amp;utm_medium=social_media&amp;utm_content=job_posting&amp;ss=paid","https://www.amazon.jobs/jobs/10383254/robotics--software-development-engineer-?cmpid=SPLICX0248M&amp;utm_source=linkedin.com&amp;utm_campaign=cxro&amp;utm_medium=social_media&amp;utm_content=job_posting&amp;ss=paid")</f>
      </c>
    </row>
    <row r="466">
      <c r="A466" t="inlineStr">
        <is>
          <t>SimpliSafe</t>
        </is>
      </c>
      <c r="B466" t="inlineStr">
        <is>
          <t>2026-04-03 19:15:35</t>
        </is>
      </c>
      <c r="C466" t="inlineStr">
        <is>
          <t>69a5dca40da45516f16e9b94</t>
        </is>
      </c>
      <c r="D466" t="inlineStr">
        <is>
          <t>Software Engineer II – Video Platform</t>
        </is>
      </c>
      <c r="E466" t="inlineStr">
        <is>
          <t>1_Discovered</t>
        </is>
      </c>
      <c r="F466" t="inlineStr">
        <is>
          <t>fanout_batch</t>
        </is>
      </c>
      <c r="G466" t="inlineStr">
        <is>
          <t>retarget</t>
        </is>
      </c>
      <c r="H466" t="inlineStr">
        <is>
          <t>seed_codex_google_fullstack</t>
        </is>
      </c>
      <c r="I466" t="inlineStr">
        <is>
          <t>Google Full Stack</t>
        </is>
      </c>
      <c r="J466" t="inlineStr">
        <is>
          <t>google_product_ai_mainline</t>
        </is>
      </c>
      <c r="K466" t="inlineStr">
        <is>
          <t>mainline</t>
        </is>
      </c>
      <c r="L466"/>
      <c r="M466"/>
      <c r="N466">
        <v>94.7</v>
      </c>
      <c r="O466" t="inlineStr">
        <is>
          <t>pass</t>
        </is>
      </c>
      <c r="P466">
        <f>HYPERLINK("file:///Users/jingyizhang/Documents/Playground/projects/local_job_resume_pipeline/data/deliverables/resume_portfolio/by_company/simplisafe/2026-04-03/69a5dca40da45516f16e9b94/resume.md","/Users/jingyizhang/Documents/Playground/projects/local_job_resume_pipeline/data/deliverables/resume_portfolio/by_company/simplisafe/2026-04-03/69a5dca40da45516f16e9b94/resume.md")</f>
      </c>
      <c r="Q466"/>
      <c r="R466">
        <f>HYPERLINK("https://boards.greenhouse.io/embed/job_app?token=7663400&amp;utm_source=jobright","https://boards.greenhouse.io/embed/job_app?token=7663400&amp;utm_source=jobright")</f>
      </c>
    </row>
    <row r="467">
      <c r="A467" t="inlineStr">
        <is>
          <t>Aditi Consulting</t>
        </is>
      </c>
      <c r="B467" t="inlineStr">
        <is>
          <t>2026-04-03 19:02:31</t>
        </is>
      </c>
      <c r="C467" t="inlineStr">
        <is>
          <t>69d08314cfdc6132f943c13f</t>
        </is>
      </c>
      <c r="D467" t="inlineStr">
        <is>
          <t>Software Engineer</t>
        </is>
      </c>
      <c r="E467" t="inlineStr">
        <is>
          <t>1_Discovered</t>
        </is>
      </c>
      <c r="F467" t="inlineStr">
        <is>
          <t>fanout_batch</t>
        </is>
      </c>
      <c r="G467" t="inlineStr">
        <is>
          <t>retarget</t>
        </is>
      </c>
      <c r="H467" t="inlineStr">
        <is>
          <t>seed_egen_fullstack_node</t>
        </is>
      </c>
      <c r="I467" t="inlineStr">
        <is>
          <t>Egen Fullstack Node</t>
        </is>
      </c>
      <c r="J467"/>
      <c r="K467"/>
      <c r="L467"/>
      <c r="M467"/>
      <c r="N467">
        <v>92.1</v>
      </c>
      <c r="O467" t="inlineStr">
        <is>
          <t>conditional_pass</t>
        </is>
      </c>
      <c r="P467">
        <f>HYPERLINK("file:///Users/jingyizhang/Documents/Playground/projects/local_job_resume_pipeline/data/deliverables/resume_portfolio/by_company/aditi-consulting/2026-04-03/69d08314cfdc6132f943c13f/resume.md","/Users/jingyizhang/Documents/Playground/projects/local_job_resume_pipeline/data/deliverables/resume_portfolio/by_company/aditi-consulting/2026-04-03/69d08314cfdc6132f943c13f/resume.md")</f>
      </c>
      <c r="Q467"/>
      <c r="R467">
        <f>HYPERLINK("https://www1.jobdiva.com/portal/?a=lmjdnwstygivzwlr4davpil0fjeac503f5em529l58yp19ouif1l5b73opy9iwzs#/jobs/27916170","https://www1.jobdiva.com/portal/?a=lmjdnwstygivzwlr4davpil0fjeac503f5em529l58yp19ouif1l5b73opy9iwzs#/jobs/27916170")</f>
      </c>
    </row>
    <row r="468">
      <c r="A468" t="inlineStr">
        <is>
          <t>Amazon Web Services (AWS)</t>
        </is>
      </c>
      <c r="B468" t="inlineStr">
        <is>
          <t>2026-04-03 18:43:31</t>
        </is>
      </c>
      <c r="C468" t="inlineStr">
        <is>
          <t>69d050a3cfdc6132f943a6ce</t>
        </is>
      </c>
      <c r="D468" t="inlineStr">
        <is>
          <t>Software Development Engineer, Support Engineering Tech</t>
        </is>
      </c>
      <c r="E468" t="inlineStr">
        <is>
          <t>1_Discovered</t>
        </is>
      </c>
      <c r="F468" t="inlineStr">
        <is>
          <t>seed_source</t>
        </is>
      </c>
      <c r="G468" t="inlineStr">
        <is>
          <t>seed_source</t>
        </is>
      </c>
      <c r="H468" t="inlineStr">
        <is>
          <t>seed_aws_support_backend_anchor</t>
        </is>
      </c>
      <c r="I468" t="inlineStr">
        <is>
          <t>AWS Support Backend Anchor</t>
        </is>
      </c>
      <c r="J468"/>
      <c r="K468"/>
      <c r="L468"/>
      <c r="M468"/>
      <c r="N468">
        <v>94.4</v>
      </c>
      <c r="O468" t="inlineStr">
        <is>
          <t>pass</t>
        </is>
      </c>
      <c r="P468">
        <f>HYPERLINK("file:///Users/jingyizhang/Documents/Playground/projects/local_job_resume_pipeline/data/deliverables/resume_portfolio/by_company/amazon-web-services-aws/2026-04-03/69d050a3cfdc6132f943a6ce/resume.md","/Users/jingyizhang/Documents/Playground/projects/local_job_resume_pipeline/data/deliverables/resume_portfolio/by_company/amazon-web-services-aws/2026-04-03/69d050a3cfdc6132f943a6ce/resume.md")</f>
      </c>
      <c r="Q468"/>
      <c r="R468">
        <f>HYPERLINK("https://www.amazon.jobs/jobs/10375118/software-development-engineer-support-engineering-tech?cmpid=SPLICX0248M&amp;utm_source=linkedin.com&amp;utm_campaign=cxro&amp;utm_medium=social_media&amp;utm_content=job_posting&amp;ss=paid","https://www.amazon.jobs/jobs/10375118/software-development-engineer-support-engineering-tech?cmpid=SPLICX0248M&amp;utm_source=linkedin.com&amp;utm_campaign=cxro&amp;utm_medium=social_media&amp;utm_content=job_posting&amp;ss=paid")</f>
      </c>
    </row>
    <row r="469">
      <c r="A469" t="inlineStr">
        <is>
          <t>Amazon Web Services (AWS)</t>
        </is>
      </c>
      <c r="B469" t="inlineStr">
        <is>
          <t>2026-04-03 18:43:02</t>
        </is>
      </c>
      <c r="C469" t="inlineStr">
        <is>
          <t>69d050860b098b7a670787e6</t>
        </is>
      </c>
      <c r="D469" t="inlineStr">
        <is>
          <t>Software Development Engineer</t>
        </is>
      </c>
      <c r="E469" t="inlineStr">
        <is>
          <t>1_Discovered</t>
        </is>
      </c>
      <c r="F469" t="inlineStr">
        <is>
          <t>fanout_batch</t>
        </is>
      </c>
      <c r="G469" t="inlineStr">
        <is>
          <t>reuse</t>
        </is>
      </c>
      <c r="H469" t="inlineStr">
        <is>
          <t>seed_aws_support_backend_anchor</t>
        </is>
      </c>
      <c r="I469" t="inlineStr">
        <is>
          <t>AWS Support Backend Anchor</t>
        </is>
      </c>
      <c r="J469"/>
      <c r="K469"/>
      <c r="L469"/>
      <c r="M469"/>
      <c r="N469"/>
      <c r="O469"/>
      <c r="P469"/>
      <c r="Q469"/>
      <c r="R469">
        <f>HYPERLINK("https://www.amazon.jobs/jobs/10383063/software-development-engineer?cmpid=SPLICX0248M&amp;utm_source=linkedin.com&amp;utm_campaign=cxro&amp;utm_medium=social_media&amp;utm_content=job_posting&amp;ss=paid","https://www.amazon.jobs/jobs/10383063/software-development-engineer?cmpid=SPLICX0248M&amp;utm_source=linkedin.com&amp;utm_campaign=cxro&amp;utm_medium=social_media&amp;utm_content=job_posting&amp;ss=paid")</f>
      </c>
    </row>
    <row r="470">
      <c r="A470" t="inlineStr">
        <is>
          <t>Amazon</t>
        </is>
      </c>
      <c r="B470" t="inlineStr">
        <is>
          <t>2026-04-03 18:29:59</t>
        </is>
      </c>
      <c r="C470" t="inlineStr">
        <is>
          <t>69d04d77cdb525785fba9701</t>
        </is>
      </c>
      <c r="D470" t="inlineStr">
        <is>
          <t>Software Development Engineer, Ads Data Manager</t>
        </is>
      </c>
      <c r="E470" t="inlineStr">
        <is>
          <t>1_Discovered</t>
        </is>
      </c>
      <c r="F470" t="inlineStr">
        <is>
          <t>seed_validation</t>
        </is>
      </c>
      <c r="G470" t="inlineStr">
        <is>
          <t>reuse</t>
        </is>
      </c>
      <c r="H470" t="inlineStr">
        <is>
          <t>seed_zip_backend_web</t>
        </is>
      </c>
      <c r="I470" t="inlineStr">
        <is>
          <t>Zip Backend Web</t>
        </is>
      </c>
      <c r="J470"/>
      <c r="K470"/>
      <c r="L470"/>
      <c r="M470"/>
      <c r="N470"/>
      <c r="O470"/>
      <c r="P470"/>
      <c r="Q470"/>
      <c r="R470">
        <f>HYPERLINK("https://www.amazon.jobs/jobs/10383345/software-development-engineer-ads-data-manager?cmpid=SPLICX0248M&amp;utm_source=linkedin.com&amp;utm_campaign=cxro&amp;utm_medium=social_media&amp;utm_content=job_posting&amp;ss=paid","https://www.amazon.jobs/jobs/10383345/software-development-engineer-ads-data-manager?cmpid=SPLICX0248M&amp;utm_source=linkedin.com&amp;utm_campaign=cxro&amp;utm_medium=social_media&amp;utm_content=job_posting&amp;ss=paid")</f>
      </c>
    </row>
    <row r="471">
      <c r="A471" t="inlineStr">
        <is>
          <t>Amazon Web Services (AWS)</t>
        </is>
      </c>
      <c r="B471" t="inlineStr">
        <is>
          <t>2026-04-03 18:29:58</t>
        </is>
      </c>
      <c r="C471" t="inlineStr">
        <is>
          <t>69d04d76cfdc6132f943a66a</t>
        </is>
      </c>
      <c r="D471" t="inlineStr">
        <is>
          <t>Software Dev Engineer, Kiro</t>
        </is>
      </c>
      <c r="E471" t="inlineStr">
        <is>
          <t>1_Discovered</t>
        </is>
      </c>
      <c r="F471" t="inlineStr">
        <is>
          <t>fanout_batch</t>
        </is>
      </c>
      <c r="G471" t="inlineStr">
        <is>
          <t>reuse</t>
        </is>
      </c>
      <c r="H471" t="inlineStr">
        <is>
          <t>seed_aws_support_backend_anchor</t>
        </is>
      </c>
      <c r="I471" t="inlineStr">
        <is>
          <t>AWS Support Backend Anchor</t>
        </is>
      </c>
      <c r="J471"/>
      <c r="K471"/>
      <c r="L471"/>
      <c r="M471"/>
      <c r="N471"/>
      <c r="O471"/>
      <c r="P471"/>
      <c r="Q471"/>
      <c r="R471">
        <f>HYPERLINK("https://www.amazon.jobs/jobs/3188410/software-dev-engineer-kiro?cmpid=SPLICX0248M&amp;utm_source=linkedin.com&amp;utm_campaign=cxro&amp;utm_medium=social_media&amp;utm_content=job_posting&amp;ss=paid","https://www.amazon.jobs/jobs/3188410/software-dev-engineer-kiro?cmpid=SPLICX0248M&amp;utm_source=linkedin.com&amp;utm_campaign=cxro&amp;utm_medium=social_media&amp;utm_content=job_posting&amp;ss=paid")</f>
      </c>
    </row>
    <row r="472">
      <c r="A472" t="inlineStr">
        <is>
          <t>Southern Company</t>
        </is>
      </c>
      <c r="B472" t="inlineStr">
        <is>
          <t>2026-04-03 18:29:38</t>
        </is>
      </c>
      <c r="C472" t="inlineStr">
        <is>
          <t>69d04d62891d7b11cfcda917</t>
        </is>
      </c>
      <c r="D472" t="inlineStr">
        <is>
          <t>Oracle Application Developer I</t>
        </is>
      </c>
      <c r="E472" t="inlineStr">
        <is>
          <t>1_Discovered</t>
        </is>
      </c>
      <c r="F472" t="inlineStr">
        <is>
          <t>seed_validation</t>
        </is>
      </c>
      <c r="G472" t="inlineStr">
        <is>
          <t>reuse</t>
        </is>
      </c>
      <c r="H472" t="inlineStr">
        <is>
          <t>seed_backend_java_spring_api</t>
        </is>
      </c>
      <c r="I472" t="inlineStr">
        <is>
          <t>Backend Java Spring API</t>
        </is>
      </c>
      <c r="J472"/>
      <c r="K472"/>
      <c r="L472"/>
      <c r="M472"/>
      <c r="N472"/>
      <c r="O472"/>
      <c r="P472"/>
      <c r="Q472"/>
      <c r="R472">
        <f>HYPERLINK("https://southerncompany.jobs/3BA46ED7C55F40CCACD6ABA46D016AA7/job/?vs=1548&amp;utm_source=LinkedIn.com-DE&amp;utm_medium=Social%20Media&amp;utm_campaign=LinkedIn.com","https://southerncompany.jobs/3BA46ED7C55F40CCACD6ABA46D016AA7/job/?vs=1548&amp;utm_source=LinkedIn.com-DE&amp;utm_medium=Social%20Media&amp;utm_campaign=LinkedIn.com")</f>
      </c>
    </row>
    <row r="473">
      <c r="A473" t="inlineStr">
        <is>
          <t>Apple</t>
        </is>
      </c>
      <c r="B473" t="inlineStr">
        <is>
          <t>2026-04-03 18:25:06</t>
        </is>
      </c>
      <c r="C473" t="inlineStr">
        <is>
          <t>69d04c52891d7b11cfcda859</t>
        </is>
      </c>
      <c r="D473" t="inlineStr">
        <is>
          <t>Cellular Data &amp; Automation Engineer</t>
        </is>
      </c>
      <c r="E473" t="inlineStr">
        <is>
          <t>1_Discovered</t>
        </is>
      </c>
      <c r="F473" t="inlineStr">
        <is>
          <t>seed_validation</t>
        </is>
      </c>
      <c r="G473" t="inlineStr">
        <is>
          <t>reuse</t>
        </is>
      </c>
      <c r="H473" t="inlineStr">
        <is>
          <t>seed_trimedx_platform_multicloud</t>
        </is>
      </c>
      <c r="I473" t="inlineStr">
        <is>
          <t>TRIMEDX Platform Multicloud</t>
        </is>
      </c>
      <c r="J473"/>
      <c r="K473"/>
      <c r="L473"/>
      <c r="M473"/>
      <c r="N473"/>
      <c r="O473"/>
      <c r="P473"/>
      <c r="Q473"/>
      <c r="R473">
        <f>HYPERLINK("https://jobs.apple.com/en-us/details/200654896-3543/cellular-data-automation-engineer?team=HRDWR","https://jobs.apple.com/en-us/details/200654896-3543/cellular-data-automation-engineer?team=HRDWR")</f>
      </c>
    </row>
    <row r="474">
      <c r="A474" t="inlineStr">
        <is>
          <t>Amazon Web Services (AWS)</t>
        </is>
      </c>
      <c r="B474" t="inlineStr">
        <is>
          <t>2026-04-03 18:24:43</t>
        </is>
      </c>
      <c r="C474" t="inlineStr">
        <is>
          <t>69d04c3bcdb525785fba963f</t>
        </is>
      </c>
      <c r="D474" t="inlineStr">
        <is>
          <t>Software Dev Engineer, Developer Agents and Experiences</t>
        </is>
      </c>
      <c r="E474" t="inlineStr">
        <is>
          <t>1_Discovered</t>
        </is>
      </c>
      <c r="F474" t="inlineStr">
        <is>
          <t>seed_validation</t>
        </is>
      </c>
      <c r="G474" t="inlineStr">
        <is>
          <t>reuse</t>
        </is>
      </c>
      <c r="H474" t="inlineStr">
        <is>
          <t>seed_zip_backend_web</t>
        </is>
      </c>
      <c r="I474" t="inlineStr">
        <is>
          <t>Zip Backend Web</t>
        </is>
      </c>
      <c r="J474"/>
      <c r="K474"/>
      <c r="L474"/>
      <c r="M474"/>
      <c r="N474"/>
      <c r="O474"/>
      <c r="P474"/>
      <c r="Q474"/>
      <c r="R474">
        <f>HYPERLINK("https://www.amazon.jobs/jobs/3140908/software-dev-engineer-developer-agents-and-experiences?cmpid=SPLICX0248M&amp;utm_source=linkedin.com&amp;utm_campaign=cxro&amp;utm_medium=social_media&amp;utm_content=job_posting&amp;ss=paid","https://www.amazon.jobs/jobs/3140908/software-dev-engineer-developer-agents-and-experiences?cmpid=SPLICX0248M&amp;utm_source=linkedin.com&amp;utm_campaign=cxro&amp;utm_medium=social_media&amp;utm_content=job_posting&amp;ss=paid")</f>
      </c>
    </row>
    <row r="475">
      <c r="A475" t="inlineStr">
        <is>
          <t>Berkshire Grey</t>
        </is>
      </c>
      <c r="B475" t="inlineStr">
        <is>
          <t>2026-04-03 18:24:01</t>
        </is>
      </c>
      <c r="C475" t="inlineStr">
        <is>
          <t>69d04c1154f00230c6d111ff</t>
        </is>
      </c>
      <c r="D475" t="inlineStr">
        <is>
          <t>Fall 2026 Software Quality Assurance Co-op</t>
        </is>
      </c>
      <c r="E475" t="inlineStr">
        <is>
          <t>1_Discovered</t>
        </is>
      </c>
      <c r="F475" t="inlineStr">
        <is>
          <t>seed_validation</t>
        </is>
      </c>
      <c r="G475" t="inlineStr">
        <is>
          <t>reuse</t>
        </is>
      </c>
      <c r="H475" t="inlineStr">
        <is>
          <t>seed_magnite_sdet</t>
        </is>
      </c>
      <c r="I475" t="inlineStr">
        <is>
          <t>Magnite SDET</t>
        </is>
      </c>
      <c r="J475"/>
      <c r="K475"/>
      <c r="L475"/>
      <c r="M475"/>
      <c r="N475"/>
      <c r="O475"/>
      <c r="P475"/>
      <c r="Q475"/>
      <c r="R475">
        <f>HYPERLINK("https://berkshiregrey.bamboohr.com/careers/711","https://berkshiregrey.bamboohr.com/careers/711")</f>
      </c>
    </row>
    <row r="476">
      <c r="A476" t="inlineStr">
        <is>
          <t>Quest Global</t>
        </is>
      </c>
      <c r="B476" t="inlineStr">
        <is>
          <t>2026-04-03 18:22:52</t>
        </is>
      </c>
      <c r="C476" t="inlineStr">
        <is>
          <t>69d04bcc891d7b11cfcda824</t>
        </is>
      </c>
      <c r="D476" t="inlineStr">
        <is>
          <t>Data Analyst/Engineer</t>
        </is>
      </c>
      <c r="E476" t="inlineStr">
        <is>
          <t>1_Discovered</t>
        </is>
      </c>
      <c r="F476" t="inlineStr">
        <is>
          <t>fanout_batch</t>
        </is>
      </c>
      <c r="G476" t="inlineStr">
        <is>
          <t>retarget</t>
        </is>
      </c>
      <c r="H476" t="inlineStr">
        <is>
          <t>seed_bytedance_ml_grad</t>
        </is>
      </c>
      <c r="I476" t="inlineStr">
        <is>
          <t>ByteDance ML Grad</t>
        </is>
      </c>
      <c r="J476"/>
      <c r="K476"/>
      <c r="L476"/>
      <c r="M476"/>
      <c r="N476">
        <v>94.7</v>
      </c>
      <c r="O476" t="inlineStr">
        <is>
          <t>pass</t>
        </is>
      </c>
      <c r="P476">
        <f>HYPERLINK("file:///Users/jingyizhang/Documents/Playground/projects/local_job_resume_pipeline/data/deliverables/resume_portfolio/by_company/quest-global/2026-04-03/69d04bcc891d7b11cfcda824/resume.md","/Users/jingyizhang/Documents/Playground/projects/local_job_resume_pipeline/data/deliverables/resume_portfolio/by_company/quest-global/2026-04-03/69d04bcc891d7b11cfcda824/resume.md")</f>
      </c>
      <c r="Q476"/>
      <c r="R476">
        <f>HYPERLINK("https://careers.quest-global.com/global/en/job/QGRQGAGLOBALP115096EXTERNALENGLOBAL/Data-Analyst-Engineer?utm_source=linkedin&amp;utm_medium=phenom-feeds","https://careers.quest-global.com/global/en/job/QGRQGAGLOBALP115096EXTERNALENGLOBAL/Data-Analyst-Engineer?utm_source=linkedin&amp;utm_medium=phenom-feeds")</f>
      </c>
    </row>
    <row r="477">
      <c r="A477" t="inlineStr">
        <is>
          <t>Zensar Technologies</t>
        </is>
      </c>
      <c r="B477" t="inlineStr">
        <is>
          <t>2026-04-03 18:17:13</t>
        </is>
      </c>
      <c r="C477" t="inlineStr">
        <is>
          <t>69d04a79cfdc6132f943a52e</t>
        </is>
      </c>
      <c r="D477" t="inlineStr">
        <is>
          <t>Data Engineer</t>
        </is>
      </c>
      <c r="E477" t="inlineStr">
        <is>
          <t>1_Discovered</t>
        </is>
      </c>
      <c r="F477" t="inlineStr">
        <is>
          <t>fanout_batch</t>
        </is>
      </c>
      <c r="G477" t="inlineStr">
        <is>
          <t>retarget</t>
        </is>
      </c>
      <c r="H477" t="inlineStr">
        <is>
          <t>seed_jpmc_data_mlops_anchor</t>
        </is>
      </c>
      <c r="I477" t="inlineStr">
        <is>
          <t>JPMorganChase Data Platform/MLOps Anchor</t>
        </is>
      </c>
      <c r="J477" t="inlineStr">
        <is>
          <t>jpmc_data_mlops_mainline</t>
        </is>
      </c>
      <c r="K477" t="inlineStr">
        <is>
          <t>mainline</t>
        </is>
      </c>
      <c r="L477"/>
      <c r="M477"/>
      <c r="N477">
        <v>93.9</v>
      </c>
      <c r="O477" t="inlineStr">
        <is>
          <t>pass</t>
        </is>
      </c>
      <c r="P477">
        <f>HYPERLINK("file:///Users/jingyizhang/Documents/Playground/projects/local_job_resume_pipeline/data/deliverables/resume_portfolio/by_company/zensar-technologies/2026-04-03/69d04a79cfdc6132f943a52e/resume.md","/Users/jingyizhang/Documents/Playground/projects/local_job_resume_pipeline/data/deliverables/resume_portfolio/by_company/zensar-technologies/2026-04-03/69d04a79cfdc6132f943a52e/resume.md")</f>
      </c>
      <c r="Q477"/>
      <c r="R477">
        <f>HYPERLINK("https://www.linkedin.com/jobs/view/4397581820","https://www.linkedin.com/jobs/view/4397581820")</f>
      </c>
    </row>
    <row r="478">
      <c r="A478" t="inlineStr">
        <is>
          <t>UnitX</t>
        </is>
      </c>
      <c r="B478" t="inlineStr">
        <is>
          <t>2026-04-03 18:16:50</t>
        </is>
      </c>
      <c r="C478" t="inlineStr">
        <is>
          <t>69d04a620b098b7a6707862b</t>
        </is>
      </c>
      <c r="D478" t="inlineStr">
        <is>
          <t>Machine Learning Engineer</t>
        </is>
      </c>
      <c r="E478" t="inlineStr">
        <is>
          <t>1_Discovered</t>
        </is>
      </c>
      <c r="F478" t="inlineStr">
        <is>
          <t>fanout_batch</t>
        </is>
      </c>
      <c r="G478" t="inlineStr">
        <is>
          <t>retarget</t>
        </is>
      </c>
      <c r="H478" t="inlineStr">
        <is>
          <t>seed_bytedance_ml_grad</t>
        </is>
      </c>
      <c r="I478" t="inlineStr">
        <is>
          <t>ByteDance ML Grad</t>
        </is>
      </c>
      <c r="J478"/>
      <c r="K478"/>
      <c r="L478"/>
      <c r="M478"/>
      <c r="N478">
        <v>67.3</v>
      </c>
      <c r="O478" t="inlineStr">
        <is>
          <t>fail</t>
        </is>
      </c>
      <c r="P478">
        <f>HYPERLINK("file:///Users/jingyizhang/Documents/Playground/projects/local_job_resume_pipeline/data/deliverables/resume_portfolio/by_company/unitx/2026-04-03/69d04a620b098b7a6707862b/resume.md","/Users/jingyizhang/Documents/Playground/projects/local_job_resume_pipeline/data/deliverables/resume_portfolio/by_company/unitx/2026-04-03/69d04a620b098b7a6707862b/resume.md")</f>
      </c>
      <c r="Q478"/>
      <c r="R478">
        <f>HYPERLINK("https://jobs.ashbyhq.com/unitxlabs/dd8f4858-46b6-40cf-a529-e21a94f643c3/application?utm_source=xobYgZPOm9","https://jobs.ashbyhq.com/unitxlabs/dd8f4858-46b6-40cf-a529-e21a94f643c3/application?utm_source=xobYgZPOm9")</f>
      </c>
    </row>
    <row r="479">
      <c r="A479" t="inlineStr">
        <is>
          <t>Magnite</t>
        </is>
      </c>
      <c r="B479" t="inlineStr">
        <is>
          <t>2026-04-03 18:10:44</t>
        </is>
      </c>
      <c r="C479" t="inlineStr">
        <is>
          <t>69d048f4366bb95ba551d5a0</t>
        </is>
      </c>
      <c r="D479" t="inlineStr">
        <is>
          <t>Engineer I, Automation and Custom Applications</t>
        </is>
      </c>
      <c r="E479" t="inlineStr">
        <is>
          <t>1_Discovered</t>
        </is>
      </c>
      <c r="F479" t="inlineStr">
        <is>
          <t>fanout_batch</t>
        </is>
      </c>
      <c r="G479" t="inlineStr">
        <is>
          <t>retarget</t>
        </is>
      </c>
      <c r="H479" t="inlineStr">
        <is>
          <t>seed_paypal_java_backend</t>
        </is>
      </c>
      <c r="I479" t="inlineStr">
        <is>
          <t>PayPal Java Backend</t>
        </is>
      </c>
      <c r="J479"/>
      <c r="K479"/>
      <c r="L479"/>
      <c r="M479"/>
      <c r="N479">
        <v>94.4</v>
      </c>
      <c r="O479" t="inlineStr">
        <is>
          <t>pass</t>
        </is>
      </c>
      <c r="P479">
        <f>HYPERLINK("file:///Users/jingyizhang/Documents/Playground/projects/local_job_resume_pipeline/data/deliverables/resume_portfolio/by_company/magnite/2026-04-03/69d048f4366bb95ba551d5a0/resume.md","/Users/jingyizhang/Documents/Playground/projects/local_job_resume_pipeline/data/deliverables/resume_portfolio/by_company/magnite/2026-04-03/69d048f4366bb95ba551d5a0/resume.md")</f>
      </c>
      <c r="Q479"/>
      <c r="R479">
        <f>HYPERLINK("https://osv-rubicon.wd5.myworkdayjobs.com/MagniteCareers/job/New-York---New-York/Engineer-I--Automation-and-Custom-Applications_R-01288?source=LinkedIn","https://osv-rubicon.wd5.myworkdayjobs.com/MagniteCareers/job/New-York---New-York/Engineer-I--Automation-and-Custom-Applications_R-01288?source=LinkedIn")</f>
      </c>
    </row>
    <row r="480">
      <c r="A480" t="inlineStr">
        <is>
          <t>Deloitte</t>
        </is>
      </c>
      <c r="B480" t="inlineStr">
        <is>
          <t>2026-04-03 18:05:56</t>
        </is>
      </c>
      <c r="C480" t="inlineStr">
        <is>
          <t>69d047d4891d7b11cfcda7a5</t>
        </is>
      </c>
      <c r="D480" t="inlineStr">
        <is>
          <t>Java Full Stack Developer</t>
        </is>
      </c>
      <c r="E480" t="inlineStr">
        <is>
          <t>1_Discovered</t>
        </is>
      </c>
      <c r="F480" t="inlineStr">
        <is>
          <t>fanout_batch</t>
        </is>
      </c>
      <c r="G480" t="inlineStr">
        <is>
          <t>retarget</t>
        </is>
      </c>
      <c r="H480" t="inlineStr">
        <is>
          <t>seed_cisco_backend_api</t>
        </is>
      </c>
      <c r="I480" t="inlineStr">
        <is>
          <t>Cisco Backend API</t>
        </is>
      </c>
      <c r="J480"/>
      <c r="K480"/>
      <c r="L480"/>
      <c r="M480"/>
      <c r="N480">
        <v>94.5</v>
      </c>
      <c r="O480" t="inlineStr">
        <is>
          <t>pass</t>
        </is>
      </c>
      <c r="P480">
        <f>HYPERLINK("file:///Users/jingyizhang/Documents/Playground/projects/local_job_resume_pipeline/data/deliverables/resume_portfolio/by_company/deloitte/2026-04-03/69d047d4891d7b11cfcda7a5/resume.md","/Users/jingyizhang/Documents/Playground/projects/local_job_resume_pipeline/data/deliverables/resume_portfolio/by_company/deloitte/2026-04-03/69d047d4891d7b11cfcda7a5/resume.md")</f>
      </c>
      <c r="Q480"/>
      <c r="R480">
        <f>HYPERLINK("https://deloitteus.avature.net/en_US/careers/InviteToApply?jobId=328727&amp;source=jobright","https://deloitteus.avature.net/en_US/careers/InviteToApply?jobId=328727&amp;source=jobright")</f>
      </c>
    </row>
    <row r="481">
      <c r="A481" t="inlineStr">
        <is>
          <t>Spotify</t>
        </is>
      </c>
      <c r="B481" t="inlineStr">
        <is>
          <t>2026-04-03 18:05:54</t>
        </is>
      </c>
      <c r="C481" t="inlineStr">
        <is>
          <t>69d047d2891d7b11cfcda79e</t>
        </is>
      </c>
      <c r="D481" t="inlineStr">
        <is>
          <t>Backend Engineer, Music</t>
        </is>
      </c>
      <c r="E481" t="inlineStr">
        <is>
          <t>1_Discovered</t>
        </is>
      </c>
      <c r="F481" t="inlineStr">
        <is>
          <t>fanout_batch</t>
        </is>
      </c>
      <c r="G481" t="inlineStr">
        <is>
          <t>reuse</t>
        </is>
      </c>
      <c r="H481" t="inlineStr">
        <is>
          <t>seed_spotify_backend_music</t>
        </is>
      </c>
      <c r="I481" t="inlineStr">
        <is>
          <t>Spotify Backend Music</t>
        </is>
      </c>
      <c r="J481"/>
      <c r="K481"/>
      <c r="L481"/>
      <c r="M481"/>
      <c r="N481"/>
      <c r="O481"/>
      <c r="P481"/>
      <c r="Q481"/>
      <c r="R481">
        <f>HYPERLINK("https://jobs.lever.co/spotify/ee5064af-0116-4ef2-994a-cb8fed580290?lever-source=jobright","https://jobs.lever.co/spotify/ee5064af-0116-4ef2-994a-cb8fed580290?lever-source=jobright")</f>
      </c>
    </row>
    <row r="482">
      <c r="A482" t="inlineStr">
        <is>
          <t>IDEXX</t>
        </is>
      </c>
      <c r="B482" t="inlineStr">
        <is>
          <t>2026-04-03 18:05:08</t>
        </is>
      </c>
      <c r="C482" t="inlineStr">
        <is>
          <t>69d047a4cfdc6132f943a491</t>
        </is>
      </c>
      <c r="D482" t="inlineStr">
        <is>
          <t>Computer Vision Data Scientist</t>
        </is>
      </c>
      <c r="E482" t="inlineStr">
        <is>
          <t>1_Discovered</t>
        </is>
      </c>
      <c r="F482" t="inlineStr">
        <is>
          <t>fanout_batch</t>
        </is>
      </c>
      <c r="G482" t="inlineStr">
        <is>
          <t>retarget</t>
        </is>
      </c>
      <c r="H482" t="inlineStr">
        <is>
          <t>seed_h2o_ai_engineer</t>
        </is>
      </c>
      <c r="I482" t="inlineStr">
        <is>
          <t>H2O AI Engineer</t>
        </is>
      </c>
      <c r="J482"/>
      <c r="K482"/>
      <c r="L482"/>
      <c r="M482"/>
      <c r="N482">
        <v>94.5</v>
      </c>
      <c r="O482" t="inlineStr">
        <is>
          <t>pass</t>
        </is>
      </c>
      <c r="P482">
        <f>HYPERLINK("file:///Users/jingyizhang/Documents/Playground/projects/local_job_resume_pipeline/data/deliverables/resume_portfolio/by_company/idexx/2026-04-03/69d047a4cfdc6132f943a491/resume.md","/Users/jingyizhang/Documents/Playground/projects/local_job_resume_pipeline/data/deliverables/resume_portfolio/by_company/idexx/2026-04-03/69d047a4cfdc6132f943a491/resume.md")</f>
      </c>
      <c r="Q482"/>
      <c r="R482">
        <f>HYPERLINK("https://careers.idexx.com/us/en/job/J-050855/Computer-Vision-Data-Scientist?utm_source=linkedin&amp;utm_medium=phenom-feeds&amp;src=SNS-10040&amp;source=LinkedIn","https://careers.idexx.com/us/en/job/J-050855/Computer-Vision-Data-Scientist?utm_source=linkedin&amp;utm_medium=phenom-feeds&amp;src=SNS-10040&amp;source=LinkedIn")</f>
      </c>
    </row>
    <row r="483">
      <c r="A483" t="inlineStr">
        <is>
          <t>Bridge Legal</t>
        </is>
      </c>
      <c r="B483" t="inlineStr">
        <is>
          <t>2026-04-03 18:04:52</t>
        </is>
      </c>
      <c r="C483" t="inlineStr">
        <is>
          <t>69d04794cdb525785fba9546</t>
        </is>
      </c>
      <c r="D483" t="inlineStr">
        <is>
          <t>AI Product Engineer [Accounting]</t>
        </is>
      </c>
      <c r="E483" t="inlineStr">
        <is>
          <t>1_Discovered</t>
        </is>
      </c>
      <c r="F483" t="inlineStr">
        <is>
          <t>fanout_batch</t>
        </is>
      </c>
      <c r="G483" t="inlineStr">
        <is>
          <t>retarget</t>
        </is>
      </c>
      <c r="H483" t="inlineStr">
        <is>
          <t>seed_h2o_ai_engineer</t>
        </is>
      </c>
      <c r="I483" t="inlineStr">
        <is>
          <t>H2O AI Engineer</t>
        </is>
      </c>
      <c r="J483"/>
      <c r="K483"/>
      <c r="L483"/>
      <c r="M483"/>
      <c r="N483">
        <v>76.3</v>
      </c>
      <c r="O483" t="inlineStr">
        <is>
          <t>fail</t>
        </is>
      </c>
      <c r="P483">
        <f>HYPERLINK("file:///Users/jingyizhang/Documents/Playground/projects/local_job_resume_pipeline/data/deliverables/resume_portfolio/by_company/bridge-legal/2026-04-03/69d04794cdb525785fba9546/resume.md","/Users/jingyizhang/Documents/Playground/projects/local_job_resume_pipeline/data/deliverables/resume_portfolio/by_company/bridge-legal/2026-04-03/69d04794cdb525785fba9546/resume.md")</f>
      </c>
      <c r="Q483"/>
      <c r="R483">
        <f>HYPERLINK("https://www.linkedin.com/jobs/view/4394219188","https://www.linkedin.com/jobs/view/4394219188")</f>
      </c>
    </row>
    <row r="484">
      <c r="A484" t="inlineStr">
        <is>
          <t>Mercury Insurance</t>
        </is>
      </c>
      <c r="B484" t="inlineStr">
        <is>
          <t>2026-04-03 18:02:32</t>
        </is>
      </c>
      <c r="C484" t="inlineStr">
        <is>
          <t>69d04708cfdc6132f943a411</t>
        </is>
      </c>
      <c r="D484" t="inlineStr">
        <is>
          <t>Senior Software Engineer(Guidewire)</t>
        </is>
      </c>
      <c r="E484" t="inlineStr">
        <is>
          <t>1_Discovered</t>
        </is>
      </c>
      <c r="F484" t="inlineStr">
        <is>
          <t>fanout_batch</t>
        </is>
      </c>
      <c r="G484" t="inlineStr">
        <is>
          <t>retarget</t>
        </is>
      </c>
      <c r="H484" t="inlineStr">
        <is>
          <t>seed_google_cloud_infra_anchor_candidate</t>
        </is>
      </c>
      <c r="I484" t="inlineStr">
        <is>
          <t>Google Cloud Infra Anchor</t>
        </is>
      </c>
      <c r="J484" t="inlineStr">
        <is>
          <t>google_cloud_infra_mainline</t>
        </is>
      </c>
      <c r="K484" t="inlineStr">
        <is>
          <t>mainline</t>
        </is>
      </c>
      <c r="L484"/>
      <c r="M484"/>
      <c r="N484">
        <v>95.7</v>
      </c>
      <c r="O484" t="inlineStr">
        <is>
          <t>pass</t>
        </is>
      </c>
      <c r="P484">
        <f>HYPERLINK("file:///Users/jingyizhang/Documents/Playground/projects/local_job_resume_pipeline/data/deliverables/resume_portfolio/by_company/mercury-insurance/2026-04-03/69d04708cfdc6132f943a411/resume.md","/Users/jingyizhang/Documents/Playground/projects/local_job_resume_pipeline/data/deliverables/resume_portfolio/by_company/mercury-insurance/2026-04-03/69d04708cfdc6132f943a411/resume.md")</f>
      </c>
      <c r="Q484"/>
      <c r="R484">
        <f>HYPERLINK("https://careers-mercuryinsurance.icims.com/jobs/6087/senior-software-engineer%28guidewire%29/job?in_iframe=1","https://careers-mercuryinsurance.icims.com/jobs/6087/senior-software-engineer%28guidewire%29/job?in_iframe=1")</f>
      </c>
    </row>
    <row r="485">
      <c r="A485" t="inlineStr">
        <is>
          <t>Hewlett Packard Enterprise</t>
        </is>
      </c>
      <c r="B485" t="inlineStr">
        <is>
          <t>2026-04-03 17:59:58</t>
        </is>
      </c>
      <c r="C485" t="inlineStr">
        <is>
          <t>69d0466e891d7b11cfcda473</t>
        </is>
      </c>
      <c r="D485" t="inlineStr">
        <is>
          <t>Software Engineer</t>
        </is>
      </c>
      <c r="E485" t="inlineStr">
        <is>
          <t>1_Discovered</t>
        </is>
      </c>
      <c r="F485" t="inlineStr">
        <is>
          <t>fanout_batch</t>
        </is>
      </c>
      <c r="G485" t="inlineStr">
        <is>
          <t>reuse</t>
        </is>
      </c>
      <c r="H485" t="inlineStr">
        <is>
          <t>seed_magnite_sdet</t>
        </is>
      </c>
      <c r="I485" t="inlineStr">
        <is>
          <t>Magnite SDET</t>
        </is>
      </c>
      <c r="J485"/>
      <c r="K485"/>
      <c r="L485"/>
      <c r="M485"/>
      <c r="N485"/>
      <c r="O485"/>
      <c r="P485"/>
      <c r="Q485"/>
      <c r="R485">
        <f>HYPERLINK("https://careers.hpe.com/us/en/job/1203703/Software-Engineer?utm_source=linkedin","https://careers.hpe.com/us/en/job/1203703/Software-Engineer?utm_source=linkedin")</f>
      </c>
    </row>
    <row r="486">
      <c r="A486" t="inlineStr">
        <is>
          <t>Uber</t>
        </is>
      </c>
      <c r="B486" t="inlineStr">
        <is>
          <t>2026-04-03 17:59:57</t>
        </is>
      </c>
      <c r="C486" t="inlineStr">
        <is>
          <t>69d0466d891d7b11cfcda469</t>
        </is>
      </c>
      <c r="D486" t="inlineStr">
        <is>
          <t>Software Engineer</t>
        </is>
      </c>
      <c r="E486" t="inlineStr">
        <is>
          <t>1_Discovered</t>
        </is>
      </c>
      <c r="F486" t="inlineStr">
        <is>
          <t>fanout_batch</t>
        </is>
      </c>
      <c r="G486" t="inlineStr">
        <is>
          <t>retarget</t>
        </is>
      </c>
      <c r="H486" t="inlineStr">
        <is>
          <t>seed_google_cloud_infra_anchor_candidate</t>
        </is>
      </c>
      <c r="I486" t="inlineStr">
        <is>
          <t>Google Cloud Infra Anchor</t>
        </is>
      </c>
      <c r="J486" t="inlineStr">
        <is>
          <t>google_cloud_infra_mainline</t>
        </is>
      </c>
      <c r="K486" t="inlineStr">
        <is>
          <t>mainline</t>
        </is>
      </c>
      <c r="L486"/>
      <c r="M486"/>
      <c r="N486">
        <v>95.6</v>
      </c>
      <c r="O486" t="inlineStr">
        <is>
          <t>pass</t>
        </is>
      </c>
      <c r="P486">
        <f>HYPERLINK("file:///Users/jingyizhang/Documents/Playground/projects/local_job_resume_pipeline/data/deliverables/resume_portfolio/by_company/uber/2026-04-03/69d0466d891d7b11cfcda469/resume.md","/Users/jingyizhang/Documents/Playground/projects/local_job_resume_pipeline/data/deliverables/resume_portfolio/by_company/uber/2026-04-03/69d0466d891d7b11cfcda469/resume.md")</f>
      </c>
      <c r="Q486"/>
      <c r="R486">
        <f>HYPERLINK("https://tnl2.jometer.com/v2/job?jz=5wqzs8cf47441fea35ac45736ae36e321cc24KMAGUCAAAABQ&amp;iis=Job%20Board%20-%20Recruitment%20Marketing&amp;iisn=LinkedIn","https://tnl2.jometer.com/v2/job?jz=5wqzs8cf47441fea35ac45736ae36e321cc24KMAGUCAAAABQ&amp;iis=Job%20Board%20-%20Recruitment%20Marketing&amp;iisn=LinkedIn")</f>
      </c>
    </row>
    <row r="487">
      <c r="A487" t="inlineStr">
        <is>
          <t>Uber</t>
        </is>
      </c>
      <c r="B487" t="inlineStr">
        <is>
          <t>2026-04-03 17:59:46</t>
        </is>
      </c>
      <c r="C487" t="inlineStr">
        <is>
          <t>69d04662cfdc6132f943a069</t>
        </is>
      </c>
      <c r="D487" t="inlineStr">
        <is>
          <t>Software Engineer</t>
        </is>
      </c>
      <c r="E487" t="inlineStr">
        <is>
          <t>1_Discovered</t>
        </is>
      </c>
      <c r="F487" t="inlineStr">
        <is>
          <t>fanout_batch</t>
        </is>
      </c>
      <c r="G487" t="inlineStr">
        <is>
          <t>retarget</t>
        </is>
      </c>
      <c r="H487" t="inlineStr">
        <is>
          <t>seed_paypal_java_backend</t>
        </is>
      </c>
      <c r="I487" t="inlineStr">
        <is>
          <t>PayPal Java Backend</t>
        </is>
      </c>
      <c r="J487"/>
      <c r="K487"/>
      <c r="L487"/>
      <c r="M487"/>
      <c r="N487">
        <v>93.7</v>
      </c>
      <c r="O487" t="inlineStr">
        <is>
          <t>pass</t>
        </is>
      </c>
      <c r="P487">
        <f>HYPERLINK("file:///Users/jingyizhang/Documents/Playground/projects/local_job_resume_pipeline/data/deliverables/resume_portfolio/by_company/uber/2026-04-03/69d04662cfdc6132f943a069/resume.md","/Users/jingyizhang/Documents/Playground/projects/local_job_resume_pipeline/data/deliverables/resume_portfolio/by_company/uber/2026-04-03/69d04662cfdc6132f943a069/resume.md")</f>
      </c>
      <c r="Q487"/>
      <c r="R487">
        <f>HYPERLINK("https://tnl2.jometer.com/v2/job?jz=5wqzs0d264b0027059c545a9519043b384345KMAGUCAAAABQ&amp;iis=Job%20Board%20-%20Recruitment%20Marketing&amp;iisn=LinkedIn","https://tnl2.jometer.com/v2/job?jz=5wqzs0d264b0027059c545a9519043b384345KMAGUCAAAABQ&amp;iis=Job%20Board%20-%20Recruitment%20Marketing&amp;iisn=LinkedIn")</f>
      </c>
    </row>
    <row r="488">
      <c r="A488" t="inlineStr">
        <is>
          <t>Uber</t>
        </is>
      </c>
      <c r="B488" t="inlineStr">
        <is>
          <t>2026-04-03 17:59:44</t>
        </is>
      </c>
      <c r="C488" t="inlineStr">
        <is>
          <t>69d04660cfdc6132f943a05a</t>
        </is>
      </c>
      <c r="D488" t="inlineStr">
        <is>
          <t>Software Engineer</t>
        </is>
      </c>
      <c r="E488" t="inlineStr">
        <is>
          <t>1_Discovered</t>
        </is>
      </c>
      <c r="F488" t="inlineStr">
        <is>
          <t>fanout_batch</t>
        </is>
      </c>
      <c r="G488" t="inlineStr">
        <is>
          <t>reuse</t>
        </is>
      </c>
      <c r="H488" t="inlineStr">
        <is>
          <t>seed_paypal_java_backend</t>
        </is>
      </c>
      <c r="I488" t="inlineStr">
        <is>
          <t>PayPal Java Backend</t>
        </is>
      </c>
      <c r="J488"/>
      <c r="K488"/>
      <c r="L488"/>
      <c r="M488"/>
      <c r="N488"/>
      <c r="O488"/>
      <c r="P488"/>
      <c r="Q488"/>
      <c r="R488">
        <f>HYPERLINK("https://tnl2.jometer.com/v2/job?jz=5wqzs1f6fb58aa31c72c74b1108b00235c931KMAGUCAAAABQ&amp;iis=Job%20Board%20-%20Recruitment%20Marketing&amp;iisn=LinkedIn","https://tnl2.jometer.com/v2/job?jz=5wqzs1f6fb58aa31c72c74b1108b00235c931KMAGUCAAAABQ&amp;iis=Job%20Board%20-%20Recruitment%20Marketing&amp;iisn=LinkedIn")</f>
      </c>
    </row>
    <row r="489">
      <c r="A489" t="inlineStr">
        <is>
          <t>Tata Consultancy Services</t>
        </is>
      </c>
      <c r="B489" t="inlineStr">
        <is>
          <t>2026-04-03 17:59:07</t>
        </is>
      </c>
      <c r="C489" t="inlineStr">
        <is>
          <t>69d06472cfdc6132f943b05d</t>
        </is>
      </c>
      <c r="D489" t="inlineStr">
        <is>
          <t>AI ML Engineer</t>
        </is>
      </c>
      <c r="E489" t="inlineStr">
        <is>
          <t>1_Discovered</t>
        </is>
      </c>
      <c r="F489" t="inlineStr">
        <is>
          <t>fanout_batch</t>
        </is>
      </c>
      <c r="G489" t="inlineStr">
        <is>
          <t>retarget</t>
        </is>
      </c>
      <c r="H489" t="inlineStr">
        <is>
          <t>seed_linkedin_mle_foundation</t>
        </is>
      </c>
      <c r="I489" t="inlineStr">
        <is>
          <t>LinkedIn MLE Foundation</t>
        </is>
      </c>
      <c r="J489"/>
      <c r="K489"/>
      <c r="L489"/>
      <c r="M489"/>
      <c r="N489">
        <v>94.8</v>
      </c>
      <c r="O489" t="inlineStr">
        <is>
          <t>pass</t>
        </is>
      </c>
      <c r="P489">
        <f>HYPERLINK("file:///Users/jingyizhang/Documents/Playground/projects/local_job_resume_pipeline/data/deliverables/resume_portfolio/by_company/tata-consultancy-services/2026-04-03/69d06472cfdc6132f943b05d/resume.md","/Users/jingyizhang/Documents/Playground/projects/local_job_resume_pipeline/data/deliverables/resume_portfolio/by_company/tata-consultancy-services/2026-04-03/69d06472cfdc6132f943b05d/resume.md")</f>
      </c>
      <c r="Q489"/>
      <c r="R489">
        <f>HYPERLINK("https://ibegin.tcsapps.com/candidate/jobs/405179J","https://ibegin.tcsapps.com/candidate/jobs/405179J")</f>
      </c>
    </row>
    <row r="490">
      <c r="A490" t="inlineStr">
        <is>
          <t>Fullsteam</t>
        </is>
      </c>
      <c r="B490" t="inlineStr">
        <is>
          <t>2026-04-03 17:58:35</t>
        </is>
      </c>
      <c r="C490" t="inlineStr">
        <is>
          <t>69d0461b891d7b11cfcda1fc</t>
        </is>
      </c>
      <c r="D490" t="inlineStr">
        <is>
          <t>Sr. Software Engineer (Proficiency in NestJS &amp; React Required)</t>
        </is>
      </c>
      <c r="E490" t="inlineStr">
        <is>
          <t>1_Discovered</t>
        </is>
      </c>
      <c r="F490" t="inlineStr">
        <is>
          <t>fanout_batch</t>
        </is>
      </c>
      <c r="G490" t="inlineStr">
        <is>
          <t>retarget</t>
        </is>
      </c>
      <c r="H490" t="inlineStr">
        <is>
          <t>seed_egen_fullstack_node</t>
        </is>
      </c>
      <c r="I490" t="inlineStr">
        <is>
          <t>Egen Fullstack Node</t>
        </is>
      </c>
      <c r="J490"/>
      <c r="K490"/>
      <c r="L490"/>
      <c r="M490"/>
      <c r="N490">
        <v>93.8</v>
      </c>
      <c r="O490" t="inlineStr">
        <is>
          <t>pass</t>
        </is>
      </c>
      <c r="P490">
        <f>HYPERLINK("file:///Users/jingyizhang/Documents/Playground/projects/local_job_resume_pipeline/data/deliverables/resume_portfolio/by_company/fullsteam/2026-04-03/69d0461b891d7b11cfcda1fc/resume.md","/Users/jingyizhang/Documents/Playground/projects/local_job_resume_pipeline/data/deliverables/resume_portfolio/by_company/fullsteam/2026-04-03/69d0461b891d7b11cfcda1fc/resume.md")</f>
      </c>
      <c r="Q490"/>
      <c r="R490">
        <f>HYPERLINK("https://fullsteam.wd1.myworkdayjobs.com/External/job/Remote---US/Sr-Software-Engineer_JR101964","https://fullsteam.wd1.myworkdayjobs.com/External/job/Remote---US/Sr-Software-Engineer_JR101964")</f>
      </c>
    </row>
    <row r="491">
      <c r="A491" t="inlineStr">
        <is>
          <t>JPMorganChase</t>
        </is>
      </c>
      <c r="B491" t="inlineStr">
        <is>
          <t>2026-04-03 17:58:33</t>
        </is>
      </c>
      <c r="C491" t="inlineStr">
        <is>
          <t>69d046190b098b7a67077f8c</t>
        </is>
      </c>
      <c r="D491" t="inlineStr">
        <is>
          <t>Software Engineer II - Fullstack - Python/React</t>
        </is>
      </c>
      <c r="E491" t="inlineStr">
        <is>
          <t>1_Discovered</t>
        </is>
      </c>
      <c r="F491" t="inlineStr">
        <is>
          <t>fanout_batch</t>
        </is>
      </c>
      <c r="G491" t="inlineStr">
        <is>
          <t>retarget</t>
        </is>
      </c>
      <c r="H491" t="inlineStr">
        <is>
          <t>seed_generalist_dotnet_enterprise</t>
        </is>
      </c>
      <c r="I491" t="inlineStr">
        <is>
          <t>Generalist DotNet Enterprise</t>
        </is>
      </c>
      <c r="J491"/>
      <c r="K491"/>
      <c r="L491"/>
      <c r="M491"/>
      <c r="N491">
        <v>94.5</v>
      </c>
      <c r="O491" t="inlineStr">
        <is>
          <t>pass</t>
        </is>
      </c>
      <c r="P491">
        <f>HYPERLINK("file:///Users/jingyizhang/Documents/Playground/projects/local_job_resume_pipeline/data/deliverables/resume_portfolio/by_company/jpmorganchase/2026-04-03/69d046190b098b7a67077f8c/resume.md","/Users/jingyizhang/Documents/Playground/projects/local_job_resume_pipeline/data/deliverables/resume_portfolio/by_company/jpmorganchase/2026-04-03/69d046190b098b7a67077f8c/resume.md")</f>
      </c>
      <c r="Q491"/>
      <c r="R491">
        <f>HYPERLINK("https://jpmc.fa.oraclecloud.com/hcmUI/CandidateExperience/en/sites/CX_1001/job/210728838","https://jpmc.fa.oraclecloud.com/hcmUI/CandidateExperience/en/sites/CX_1001/job/210728838")</f>
      </c>
    </row>
    <row r="492">
      <c r="A492" t="inlineStr">
        <is>
          <t>JPMorganChase</t>
        </is>
      </c>
      <c r="B492" t="inlineStr">
        <is>
          <t>2026-04-03 17:58:30</t>
        </is>
      </c>
      <c r="C492" t="inlineStr">
        <is>
          <t>69d04616366bb95ba551cf5b</t>
        </is>
      </c>
      <c r="D492" t="inlineStr">
        <is>
          <t>Data Owner Sr. Associate</t>
        </is>
      </c>
      <c r="E492" t="inlineStr">
        <is>
          <t>1_Discovered</t>
        </is>
      </c>
      <c r="F492" t="inlineStr">
        <is>
          <t>fanout_batch</t>
        </is>
      </c>
      <c r="G492" t="inlineStr">
        <is>
          <t>reuse</t>
        </is>
      </c>
      <c r="H492" t="inlineStr">
        <is>
          <t>seed_jpmc_data_mlops_anchor</t>
        </is>
      </c>
      <c r="I492" t="inlineStr">
        <is>
          <t>JPMorganChase Data Platform/MLOps Anchor</t>
        </is>
      </c>
      <c r="J492" t="inlineStr">
        <is>
          <t>jpmc_data_mlops_mainline</t>
        </is>
      </c>
      <c r="K492" t="inlineStr">
        <is>
          <t>mainline</t>
        </is>
      </c>
      <c r="L492"/>
      <c r="M492"/>
      <c r="N492"/>
      <c r="O492"/>
      <c r="P492"/>
      <c r="Q492"/>
      <c r="R492">
        <f>HYPERLINK("https://jpmc.fa.oraclecloud.com/hcmUI/CandidateExperience/en/sites/CX_1001/job/210731005","https://jpmc.fa.oraclecloud.com/hcmUI/CandidateExperience/en/sites/CX_1001/job/210731005")</f>
      </c>
    </row>
    <row r="493">
      <c r="A493" t="inlineStr">
        <is>
          <t>Influence Mobile</t>
        </is>
      </c>
      <c r="B493" t="inlineStr">
        <is>
          <t>2026-04-03 17:44:24</t>
        </is>
      </c>
      <c r="C493" t="inlineStr">
        <is>
          <t>69d042c80b098b7a67077e61</t>
        </is>
      </c>
      <c r="D493" t="inlineStr">
        <is>
          <t>QA Engineer — AI &amp; Automation Data Analyst</t>
        </is>
      </c>
      <c r="E493" t="inlineStr">
        <is>
          <t>1_Discovered</t>
        </is>
      </c>
      <c r="F493" t="inlineStr">
        <is>
          <t>fanout_batch</t>
        </is>
      </c>
      <c r="G493" t="inlineStr">
        <is>
          <t>reuse</t>
        </is>
      </c>
      <c r="H493" t="inlineStr">
        <is>
          <t>seed_magnite_sdet</t>
        </is>
      </c>
      <c r="I493" t="inlineStr">
        <is>
          <t>Magnite SDET</t>
        </is>
      </c>
      <c r="J493"/>
      <c r="K493"/>
      <c r="L493"/>
      <c r="M493"/>
      <c r="N493"/>
      <c r="O493"/>
      <c r="P493"/>
      <c r="Q493"/>
      <c r="R493">
        <f>HYPERLINK("https://www.linkedin.com/jobs/view/4394209135","https://www.linkedin.com/jobs/view/4394209135")</f>
      </c>
    </row>
    <row r="494">
      <c r="A494" t="inlineStr">
        <is>
          <t>Grid</t>
        </is>
      </c>
      <c r="B494" t="inlineStr">
        <is>
          <t>2026-04-03 17:35:25</t>
        </is>
      </c>
      <c r="C494" t="inlineStr">
        <is>
          <t>69d040ad54f00230c6d109a4</t>
        </is>
      </c>
      <c r="D494" t="inlineStr">
        <is>
          <t>Software Engineer | On-site | San Francisco</t>
        </is>
      </c>
      <c r="E494" t="inlineStr">
        <is>
          <t>1_Discovered</t>
        </is>
      </c>
      <c r="F494" t="inlineStr">
        <is>
          <t>fanout_batch</t>
        </is>
      </c>
      <c r="G494" t="inlineStr">
        <is>
          <t>retarget</t>
        </is>
      </c>
      <c r="H494" t="inlineStr">
        <is>
          <t>seed_aws_generalist_embedded</t>
        </is>
      </c>
      <c r="I494" t="inlineStr">
        <is>
          <t>AWS Generalist Embedded</t>
        </is>
      </c>
      <c r="J494"/>
      <c r="K494"/>
      <c r="L494"/>
      <c r="M494"/>
      <c r="N494">
        <v>84.9</v>
      </c>
      <c r="O494" t="inlineStr">
        <is>
          <t>fail</t>
        </is>
      </c>
      <c r="P494">
        <f>HYPERLINK("file:///Users/jingyizhang/Documents/Playground/projects/local_job_resume_pipeline/data/deliverables/resume_portfolio/by_company/grid/2026-04-03/69d040ad54f00230c6d109a4/resume.md","/Users/jingyizhang/Documents/Playground/projects/local_job_resume_pipeline/data/deliverables/resume_portfolio/by_company/grid/2026-04-03/69d040ad54f00230c6d109a4/resume.md")</f>
      </c>
      <c r="Q494"/>
      <c r="R494">
        <f>HYPERLINK("https://jobs.lever.co/Grid/637a49f0-7244-4bca-8093-232cb27b42c0/apply?utm_source=jobright","https://jobs.lever.co/Grid/637a49f0-7244-4bca-8093-232cb27b42c0/apply?utm_source=jobright")</f>
      </c>
    </row>
    <row r="495">
      <c r="A495" t="inlineStr">
        <is>
          <t>University of Kentucky</t>
        </is>
      </c>
      <c r="B495" t="inlineStr">
        <is>
          <t>2026-04-03 17:16:04</t>
        </is>
      </c>
      <c r="C495" t="inlineStr">
        <is>
          <t>69d03c2454f00230c6d107e8</t>
        </is>
      </c>
      <c r="D495" t="inlineStr">
        <is>
          <t>Data Scientist I</t>
        </is>
      </c>
      <c r="E495" t="inlineStr">
        <is>
          <t>1_Discovered</t>
        </is>
      </c>
      <c r="F495" t="inlineStr">
        <is>
          <t>fanout_batch</t>
        </is>
      </c>
      <c r="G495" t="inlineStr">
        <is>
          <t>retarget</t>
        </is>
      </c>
      <c r="H495" t="inlineStr">
        <is>
          <t>seed_linkedin_mle_foundation</t>
        </is>
      </c>
      <c r="I495" t="inlineStr">
        <is>
          <t>LinkedIn MLE Foundation</t>
        </is>
      </c>
      <c r="J495"/>
      <c r="K495"/>
      <c r="L495"/>
      <c r="M495"/>
      <c r="N495">
        <v>93.5</v>
      </c>
      <c r="O495" t="inlineStr">
        <is>
          <t>pass</t>
        </is>
      </c>
      <c r="P495">
        <f>HYPERLINK("file:///Users/jingyizhang/Documents/Playground/projects/local_job_resume_pipeline/data/deliverables/resume_portfolio/by_company/university-of-kentucky/2026-04-03/69d03c2454f00230c6d107e8/resume.md","/Users/jingyizhang/Documents/Playground/projects/local_job_resume_pipeline/data/deliverables/resume_portfolio/by_company/university-of-kentucky/2026-04-03/69d03c2454f00230c6d107e8/resume.md")</f>
      </c>
      <c r="Q495"/>
      <c r="R495">
        <f>HYPERLINK("https://ukjobs.uky.edu/postings/625441?source=LinkedIn","https://ukjobs.uky.edu/postings/625441?source=LinkedIn")</f>
      </c>
    </row>
    <row r="496">
      <c r="A496" t="inlineStr">
        <is>
          <t>Q1 Technologies, Inc.</t>
        </is>
      </c>
      <c r="B496" t="inlineStr">
        <is>
          <t>2026-04-03 17:14:43</t>
        </is>
      </c>
      <c r="C496" t="inlineStr">
        <is>
          <t>69cdd689cfdc6132f942014f</t>
        </is>
      </c>
      <c r="D496" t="inlineStr">
        <is>
          <t>Data Scientist with ML experience</t>
        </is>
      </c>
      <c r="E496" t="inlineStr">
        <is>
          <t>1_Discovered</t>
        </is>
      </c>
      <c r="F496" t="inlineStr">
        <is>
          <t>fanout_batch</t>
        </is>
      </c>
      <c r="G496" t="inlineStr">
        <is>
          <t>retarget</t>
        </is>
      </c>
      <c r="H496" t="inlineStr">
        <is>
          <t>seed_h2o_ai_engineer</t>
        </is>
      </c>
      <c r="I496" t="inlineStr">
        <is>
          <t>H2O AI Engineer</t>
        </is>
      </c>
      <c r="J496"/>
      <c r="K496"/>
      <c r="L496"/>
      <c r="M496"/>
      <c r="N496">
        <v>94.4</v>
      </c>
      <c r="O496" t="inlineStr">
        <is>
          <t>conditional_pass</t>
        </is>
      </c>
      <c r="P496">
        <f>HYPERLINK("file:///Users/jingyizhang/Documents/Playground/projects/local_job_resume_pipeline/data/deliverables/resume_portfolio/by_company/q1-technologies-inc/2026-04-03/69cdd689cfdc6132f942014f/resume.md","/Users/jingyizhang/Documents/Playground/projects/local_job_resume_pipeline/data/deliverables/resume_portfolio/by_company/q1-technologies-inc/2026-04-03/69cdd689cfdc6132f942014f/resume.md")</f>
      </c>
      <c r="Q496"/>
      <c r="R496">
        <f>HYPERLINK("https://www.linkedin.com/jobs/view/4396742594","https://www.linkedin.com/jobs/view/4396742594")</f>
      </c>
    </row>
    <row r="497">
      <c r="A497" t="inlineStr">
        <is>
          <t>RK Infotech LLC - E-Verified Company</t>
        </is>
      </c>
      <c r="B497" t="inlineStr">
        <is>
          <t>2026-04-03 17:13:57</t>
        </is>
      </c>
      <c r="C497" t="inlineStr">
        <is>
          <t>699714ab81476f6176af2ee7</t>
        </is>
      </c>
      <c r="D497" t="inlineStr">
        <is>
          <t>Software Engineer</t>
        </is>
      </c>
      <c r="E497" t="inlineStr">
        <is>
          <t>1_Discovered</t>
        </is>
      </c>
      <c r="F497" t="inlineStr">
        <is>
          <t>fanout_batch</t>
        </is>
      </c>
      <c r="G497" t="inlineStr">
        <is>
          <t>retarget</t>
        </is>
      </c>
      <c r="H497" t="inlineStr">
        <is>
          <t>seed_paypal_java_backend</t>
        </is>
      </c>
      <c r="I497" t="inlineStr">
        <is>
          <t>PayPal Java Backend</t>
        </is>
      </c>
      <c r="J497"/>
      <c r="K497"/>
      <c r="L497"/>
      <c r="M497"/>
      <c r="N497">
        <v>90.5</v>
      </c>
      <c r="O497" t="inlineStr">
        <is>
          <t>conditional_pass</t>
        </is>
      </c>
      <c r="P497">
        <f>HYPERLINK("file:///Users/jingyizhang/Documents/Playground/projects/local_job_resume_pipeline/data/deliverables/resume_portfolio/by_company/rk-infotech-llc-e-verified-company/2026-04-03/699714ab81476f6176af2ee7/resume.md","/Users/jingyizhang/Documents/Playground/projects/local_job_resume_pipeline/data/deliverables/resume_portfolio/by_company/rk-infotech-llc-e-verified-company/2026-04-03/699714ab81476f6176af2ee7/resume.md")</f>
      </c>
      <c r="Q497"/>
      <c r="R497">
        <f>HYPERLINK("https://www.linkedin.com/jobs/view/4374000978","https://www.linkedin.com/jobs/view/4374000978")</f>
      </c>
    </row>
    <row r="498">
      <c r="A498" t="inlineStr">
        <is>
          <t>NVIDIA</t>
        </is>
      </c>
      <c r="B498" t="inlineStr">
        <is>
          <t>2026-04-03 16:54:32</t>
        </is>
      </c>
      <c r="C498" t="inlineStr">
        <is>
          <t>69d03718cdb525785fba8a3a</t>
        </is>
      </c>
      <c r="D498" t="inlineStr">
        <is>
          <t>Deep Learning Software Engineer, TensorRT Performance - New College Grad 2026</t>
        </is>
      </c>
      <c r="E498" t="inlineStr">
        <is>
          <t>1_Discovered</t>
        </is>
      </c>
      <c r="F498" t="inlineStr">
        <is>
          <t>fanout_batch</t>
        </is>
      </c>
      <c r="G498" t="inlineStr">
        <is>
          <t>retarget</t>
        </is>
      </c>
      <c r="H498" t="inlineStr">
        <is>
          <t>seed_h2o_ai_engineer</t>
        </is>
      </c>
      <c r="I498" t="inlineStr">
        <is>
          <t>H2O AI Engineer</t>
        </is>
      </c>
      <c r="J498"/>
      <c r="K498"/>
      <c r="L498"/>
      <c r="M498"/>
      <c r="N498">
        <v>83.7</v>
      </c>
      <c r="O498" t="inlineStr">
        <is>
          <t>fail</t>
        </is>
      </c>
      <c r="P498">
        <f>HYPERLINK("file:///Users/jingyizhang/Documents/Playground/projects/local_job_resume_pipeline/data/deliverables/resume_portfolio/by_company/nvidia/2026-04-03/69d03718cdb525785fba8a3a/resume.md","/Users/jingyizhang/Documents/Playground/projects/local_job_resume_pipeline/data/deliverables/resume_portfolio/by_company/nvidia/2026-04-03/69d03718cdb525785fba8a3a/resume.md")</f>
      </c>
      <c r="Q498"/>
      <c r="R498">
        <f>HYPERLINK("https://nvidia.wd5.myworkdayjobs.com/nvidiaexternalcareersite/job/US-CA-Santa-Clara/Deep-Learning-Software-Engineer--TensorRT-Performance---New-College-Grad-2026_JR2015071","https://nvidia.wd5.myworkdayjobs.com/nvidiaexternalcareersite/job/US-CA-Santa-Clara/Deep-Learning-Software-Engineer--TensorRT-Performance---New-College-Grad-2026_JR2015071")</f>
      </c>
    </row>
    <row r="499">
      <c r="A499" t="inlineStr">
        <is>
          <t>Analytic Partners</t>
        </is>
      </c>
      <c r="B499" t="inlineStr">
        <is>
          <t>2026-04-03 16:43:06</t>
        </is>
      </c>
      <c r="C499" t="inlineStr">
        <is>
          <t>69d0346a54f00230c6d10595</t>
        </is>
      </c>
      <c r="D499" t="inlineStr">
        <is>
          <t>Data Science Analyst</t>
        </is>
      </c>
      <c r="E499" t="inlineStr">
        <is>
          <t>1_Discovered</t>
        </is>
      </c>
      <c r="F499" t="inlineStr">
        <is>
          <t>fanout_batch</t>
        </is>
      </c>
      <c r="G499" t="inlineStr">
        <is>
          <t>retarget</t>
        </is>
      </c>
      <c r="H499" t="inlineStr">
        <is>
          <t>seed_h2o_ai_engineer</t>
        </is>
      </c>
      <c r="I499" t="inlineStr">
        <is>
          <t>H2O AI Engineer</t>
        </is>
      </c>
      <c r="J499"/>
      <c r="K499"/>
      <c r="L499"/>
      <c r="M499"/>
      <c r="N499">
        <v>87.3</v>
      </c>
      <c r="O499" t="inlineStr">
        <is>
          <t>fail</t>
        </is>
      </c>
      <c r="P499">
        <f>HYPERLINK("file:///Users/jingyizhang/Documents/Playground/projects/local_job_resume_pipeline/data/deliverables/resume_portfolio/by_company/analytic-partners/2026-04-03/69d0346a54f00230c6d10595/resume.md","/Users/jingyizhang/Documents/Playground/projects/local_job_resume_pipeline/data/deliverables/resume_portfolio/by_company/analytic-partners/2026-04-03/69d0346a54f00230c6d10595/resume.md")</f>
      </c>
      <c r="Q499"/>
      <c r="R499">
        <f>HYPERLINK("https://www.linkedin.com/jobs/view/4397595066","https://www.linkedin.com/jobs/view/4397595066")</f>
      </c>
    </row>
    <row r="500">
      <c r="A500" t="inlineStr">
        <is>
          <t>Fullsteam</t>
        </is>
      </c>
      <c r="B500" t="inlineStr">
        <is>
          <t>2026-04-03 16:42:50</t>
        </is>
      </c>
      <c r="C500" t="inlineStr">
        <is>
          <t>69d0345a0b098b7a67077a14</t>
        </is>
      </c>
      <c r="D500" t="inlineStr">
        <is>
          <t>Sr. Software Engineer</t>
        </is>
      </c>
      <c r="E500" t="inlineStr">
        <is>
          <t>1_Discovered</t>
        </is>
      </c>
      <c r="F500" t="inlineStr">
        <is>
          <t>fanout_batch</t>
        </is>
      </c>
      <c r="G500" t="inlineStr">
        <is>
          <t>retarget</t>
        </is>
      </c>
      <c r="H500" t="inlineStr">
        <is>
          <t>seed_generalist_dotnet_enterprise</t>
        </is>
      </c>
      <c r="I500" t="inlineStr">
        <is>
          <t>Generalist DotNet Enterprise</t>
        </is>
      </c>
      <c r="J500"/>
      <c r="K500"/>
      <c r="L500"/>
      <c r="M500"/>
      <c r="N500">
        <v>68.7</v>
      </c>
      <c r="O500" t="inlineStr">
        <is>
          <t>fail</t>
        </is>
      </c>
      <c r="P500">
        <f>HYPERLINK("file:///Users/jingyizhang/Documents/Playground/projects/local_job_resume_pipeline/data/deliverables/resume_portfolio/by_company/fullsteam/2026-04-03/69d0345a0b098b7a67077a14/resume.md","/Users/jingyizhang/Documents/Playground/projects/local_job_resume_pipeline/data/deliverables/resume_portfolio/by_company/fullsteam/2026-04-03/69d0345a0b098b7a67077a14/resume.md")</f>
      </c>
      <c r="Q500"/>
      <c r="R500">
        <f>HYPERLINK("https://www.linkedin.com/jobs/view/4397577793","https://www.linkedin.com/jobs/view/4397577793")</f>
      </c>
    </row>
    <row r="501">
      <c r="A501" t="inlineStr">
        <is>
          <t>Honeywell</t>
        </is>
      </c>
      <c r="B501" t="inlineStr">
        <is>
          <t>2026-04-03 16:41:46</t>
        </is>
      </c>
      <c r="C501" t="inlineStr">
        <is>
          <t>69d0341a891d7b11cfcd9c30</t>
        </is>
      </c>
      <c r="D501" t="inlineStr">
        <is>
          <t>AI Engr II</t>
        </is>
      </c>
      <c r="E501" t="inlineStr">
        <is>
          <t>1_Discovered</t>
        </is>
      </c>
      <c r="F501" t="inlineStr">
        <is>
          <t>fanout_batch</t>
        </is>
      </c>
      <c r="G501" t="inlineStr">
        <is>
          <t>retarget</t>
        </is>
      </c>
      <c r="H501" t="inlineStr">
        <is>
          <t>seed_amazon_agi_ml_anchor</t>
        </is>
      </c>
      <c r="I501" t="inlineStr">
        <is>
          <t>Amazon AGI/LLM Anchor</t>
        </is>
      </c>
      <c r="J501" t="inlineStr">
        <is>
          <t>amazon_ai_ads_mainline</t>
        </is>
      </c>
      <c r="K501" t="inlineStr">
        <is>
          <t>mainline</t>
        </is>
      </c>
      <c r="L501"/>
      <c r="M501"/>
      <c r="N501">
        <v>75.9</v>
      </c>
      <c r="O501" t="inlineStr">
        <is>
          <t>fail</t>
        </is>
      </c>
      <c r="P501">
        <f>HYPERLINK("file:///Users/jingyizhang/Documents/Playground/projects/local_job_resume_pipeline/data/deliverables/resume_portfolio/by_company/honeywell/2026-04-03/69d0341a891d7b11cfcd9c30/resume.md","/Users/jingyizhang/Documents/Playground/projects/local_job_resume_pipeline/data/deliverables/resume_portfolio/by_company/honeywell/2026-04-03/69d0341a891d7b11cfcd9c30/resume.md")</f>
      </c>
      <c r="Q501"/>
      <c r="R501">
        <f>HYPERLINK("https://ibqbjb.fa.ocs.oraclecloud.com/hcmUI/CandidateExperience/en/job/144777/?utm_medium=jobboard&amp;utm_source=linkedin","https://ibqbjb.fa.ocs.oraclecloud.com/hcmUI/CandidateExperience/en/job/144777/?utm_medium=jobboard&amp;utm_source=linkedin")</f>
      </c>
    </row>
    <row r="502">
      <c r="A502" t="inlineStr">
        <is>
          <t>Fullsteam</t>
        </is>
      </c>
      <c r="B502" t="inlineStr">
        <is>
          <t>2026-04-03 16:41:29</t>
        </is>
      </c>
      <c r="C502" t="inlineStr">
        <is>
          <t>69d03409cdb525785fba898f</t>
        </is>
      </c>
      <c r="D502" t="inlineStr">
        <is>
          <t>Sr. Software Engineer (Expert Proficiency in NestJS &amp; React Required)</t>
        </is>
      </c>
      <c r="E502" t="inlineStr">
        <is>
          <t>1_Discovered</t>
        </is>
      </c>
      <c r="F502" t="inlineStr">
        <is>
          <t>fanout_batch</t>
        </is>
      </c>
      <c r="G502" t="inlineStr">
        <is>
          <t>retarget</t>
        </is>
      </c>
      <c r="H502" t="inlineStr">
        <is>
          <t>seed_egen_fullstack_node</t>
        </is>
      </c>
      <c r="I502" t="inlineStr">
        <is>
          <t>Egen Fullstack Node</t>
        </is>
      </c>
      <c r="J502"/>
      <c r="K502"/>
      <c r="L502"/>
      <c r="M502"/>
      <c r="N502">
        <v>95.8</v>
      </c>
      <c r="O502" t="inlineStr">
        <is>
          <t>pass</t>
        </is>
      </c>
      <c r="P502">
        <f>HYPERLINK("file:///Users/jingyizhang/Documents/Playground/projects/local_job_resume_pipeline/data/deliverables/resume_portfolio/by_company/fullsteam/2026-04-03/69d03409cdb525785fba898f/resume.md","/Users/jingyizhang/Documents/Playground/projects/local_job_resume_pipeline/data/deliverables/resume_portfolio/by_company/fullsteam/2026-04-03/69d03409cdb525785fba898f/resume.md")</f>
      </c>
      <c r="Q502"/>
      <c r="R502">
        <f>HYPERLINK("https://www.linkedin.com/jobs/view/4397576896","https://www.linkedin.com/jobs/view/4397576896")</f>
      </c>
    </row>
    <row r="503">
      <c r="A503" t="inlineStr">
        <is>
          <t>Cisco</t>
        </is>
      </c>
      <c r="B503" t="inlineStr">
        <is>
          <t>2026-04-03 16:31:57</t>
        </is>
      </c>
      <c r="C503" t="inlineStr">
        <is>
          <t>69d031cdcfdc6132f9439695</t>
        </is>
      </c>
      <c r="D503" t="inlineStr">
        <is>
          <t>Software Engineer Data/AI/Intelligent Systems I (Full Time) – United States</t>
        </is>
      </c>
      <c r="E503" t="inlineStr">
        <is>
          <t>1_Discovered</t>
        </is>
      </c>
      <c r="F503" t="inlineStr">
        <is>
          <t>fanout_batch</t>
        </is>
      </c>
      <c r="G503" t="inlineStr">
        <is>
          <t>retarget</t>
        </is>
      </c>
      <c r="H503" t="inlineStr">
        <is>
          <t>seed_h2o_ai_engineer</t>
        </is>
      </c>
      <c r="I503" t="inlineStr">
        <is>
          <t>H2O AI Engineer</t>
        </is>
      </c>
      <c r="J503"/>
      <c r="K503"/>
      <c r="L503"/>
      <c r="M503"/>
      <c r="N503">
        <v>93.9</v>
      </c>
      <c r="O503" t="inlineStr">
        <is>
          <t>pass</t>
        </is>
      </c>
      <c r="P503">
        <f>HYPERLINK("file:///Users/jingyizhang/Documents/Playground/projects/local_job_resume_pipeline/data/deliverables/resume_portfolio/by_company/cisco/2026-04-03/69d031cdcfdc6132f9439695/resume.md","/Users/jingyizhang/Documents/Playground/projects/local_job_resume_pipeline/data/deliverables/resume_portfolio/by_company/cisco/2026-04-03/69d031cdcfdc6132f9439695/resume.md")</f>
      </c>
      <c r="Q503"/>
      <c r="R503">
        <f>HYPERLINK("https://cisco.wd5.myworkdayjobs.com/Cisco_Careers/job/San-Jose-California-US/Software-Engineer-Data-AI-Intelligent-Systems-I--Full-Time----United-States_2000073","https://cisco.wd5.myworkdayjobs.com/Cisco_Careers/job/San-Jose-California-US/Software-Engineer-Data-AI-Intelligent-Systems-I--Full-Time----United-States_2000073")</f>
      </c>
    </row>
    <row r="504">
      <c r="A504" t="inlineStr">
        <is>
          <t>Cisco</t>
        </is>
      </c>
      <c r="B504" t="inlineStr">
        <is>
          <t>2026-04-03 16:31:57</t>
        </is>
      </c>
      <c r="C504" t="inlineStr">
        <is>
          <t>69d031cdcfdc6132f9439693</t>
        </is>
      </c>
      <c r="D504" t="inlineStr">
        <is>
          <t>Software Engineer Data/AI/Intelligent Systems II (Full Time) – United States</t>
        </is>
      </c>
      <c r="E504" t="inlineStr">
        <is>
          <t>1_Discovered</t>
        </is>
      </c>
      <c r="F504" t="inlineStr">
        <is>
          <t>fanout_batch</t>
        </is>
      </c>
      <c r="G504" t="inlineStr">
        <is>
          <t>retarget</t>
        </is>
      </c>
      <c r="H504" t="inlineStr">
        <is>
          <t>seed_h2o_ai_engineer</t>
        </is>
      </c>
      <c r="I504" t="inlineStr">
        <is>
          <t>H2O AI Engineer</t>
        </is>
      </c>
      <c r="J504"/>
      <c r="K504"/>
      <c r="L504"/>
      <c r="M504"/>
      <c r="N504">
        <v>93.9</v>
      </c>
      <c r="O504" t="inlineStr">
        <is>
          <t>pass</t>
        </is>
      </c>
      <c r="P504">
        <f>HYPERLINK("file:///Users/jingyizhang/Documents/Playground/projects/local_job_resume_pipeline/data/deliverables/resume_portfolio/by_company/cisco/2026-04-03/69d031cdcfdc6132f9439693/resume.md","/Users/jingyizhang/Documents/Playground/projects/local_job_resume_pipeline/data/deliverables/resume_portfolio/by_company/cisco/2026-04-03/69d031cdcfdc6132f9439693/resume.md")</f>
      </c>
      <c r="Q504"/>
      <c r="R504">
        <f>HYPERLINK("https://cisco.wd5.myworkdayjobs.com/Cisco_Careers/job/San-Jose-California-US/Software-Engineer-Data-AI-Intelligent-Systems-II--Full-Time----United-States_2000137","https://cisco.wd5.myworkdayjobs.com/Cisco_Careers/job/San-Jose-California-US/Software-Engineer-Data-AI-Intelligent-Systems-II--Full-Time----United-States_2000137")</f>
      </c>
    </row>
    <row r="505">
      <c r="A505" t="inlineStr">
        <is>
          <t>Equifax</t>
        </is>
      </c>
      <c r="B505" t="inlineStr">
        <is>
          <t>2026-04-03 16:31:11</t>
        </is>
      </c>
      <c r="C505" t="inlineStr">
        <is>
          <t>69d0319f54f00230c6d1036f</t>
        </is>
      </c>
      <c r="D505" t="inlineStr">
        <is>
          <t>Machine Learning Engineer</t>
        </is>
      </c>
      <c r="E505" t="inlineStr">
        <is>
          <t>1_Discovered</t>
        </is>
      </c>
      <c r="F505" t="inlineStr">
        <is>
          <t>fanout_batch</t>
        </is>
      </c>
      <c r="G505" t="inlineStr">
        <is>
          <t>retarget</t>
        </is>
      </c>
      <c r="H505" t="inlineStr">
        <is>
          <t>seed_bytedance_ml_grad</t>
        </is>
      </c>
      <c r="I505" t="inlineStr">
        <is>
          <t>ByteDance ML Grad</t>
        </is>
      </c>
      <c r="J505"/>
      <c r="K505"/>
      <c r="L505"/>
      <c r="M505"/>
      <c r="N505">
        <v>94.6</v>
      </c>
      <c r="O505" t="inlineStr">
        <is>
          <t>pass</t>
        </is>
      </c>
      <c r="P505">
        <f>HYPERLINK("file:///Users/jingyizhang/Documents/Playground/projects/local_job_resume_pipeline/data/deliverables/resume_portfolio/by_company/equifax/2026-04-03/69d0319f54f00230c6d1036f/resume.md","/Users/jingyizhang/Documents/Playground/projects/local_job_resume_pipeline/data/deliverables/resume_portfolio/by_company/equifax/2026-04-03/69d0319f54f00230c6d1036f/resume.md")</f>
      </c>
      <c r="Q505"/>
      <c r="R505">
        <f>HYPERLINK("https://equifax.wd5.myworkdayjobs.com/external/job/USA---Georgia---Alpharetta---30005/Machine-Learning-Engineer_J00176123","https://equifax.wd5.myworkdayjobs.com/external/job/USA---Georgia---Alpharetta---30005/Machine-Learning-Engineer_J00176123")</f>
      </c>
    </row>
    <row r="506">
      <c r="A506" t="inlineStr">
        <is>
          <t>CVS Health</t>
        </is>
      </c>
      <c r="B506" t="inlineStr">
        <is>
          <t>2026-04-03 16:30:01</t>
        </is>
      </c>
      <c r="C506" t="inlineStr">
        <is>
          <t>69d03159891d7b11cfcd9a1e</t>
        </is>
      </c>
      <c r="D506" t="inlineStr">
        <is>
          <t>Full Stack Associate Software Development Engineer (Java)</t>
        </is>
      </c>
      <c r="E506" t="inlineStr">
        <is>
          <t>1_Discovered</t>
        </is>
      </c>
      <c r="F506" t="inlineStr">
        <is>
          <t>fanout_batch</t>
        </is>
      </c>
      <c r="G506" t="inlineStr">
        <is>
          <t>reuse</t>
        </is>
      </c>
      <c r="H506" t="inlineStr">
        <is>
          <t>seed_fullstack_java_react_enterprise</t>
        </is>
      </c>
      <c r="I506" t="inlineStr">
        <is>
          <t>Fullstack Java React Enterprise</t>
        </is>
      </c>
      <c r="J506"/>
      <c r="K506"/>
      <c r="L506"/>
      <c r="M506"/>
      <c r="N506"/>
      <c r="O506"/>
      <c r="P506"/>
      <c r="Q506"/>
      <c r="R506">
        <f>HYPERLINK("https://cvshealth.wd1.myworkdayjobs.com/CVS_Health_Careers/job/AZ---Scottsdale/Full-Stack-Associate-Software-Development-Engineer--Java-_R0866170-1","https://cvshealth.wd1.myworkdayjobs.com/CVS_Health_Careers/job/AZ---Scottsdale/Full-Stack-Associate-Software-Development-Engineer--Java-_R0866170-1")</f>
      </c>
    </row>
    <row r="507">
      <c r="A507" t="inlineStr">
        <is>
          <t>Vizient, Inc</t>
        </is>
      </c>
      <c r="B507" t="inlineStr">
        <is>
          <t>2026-04-03 16:22:33</t>
        </is>
      </c>
      <c r="C507" t="inlineStr">
        <is>
          <t>69d02f99cdb525785fba8407</t>
        </is>
      </c>
      <c r="D507" t="inlineStr">
        <is>
          <t>Data Scientist</t>
        </is>
      </c>
      <c r="E507" t="inlineStr">
        <is>
          <t>1_Discovered</t>
        </is>
      </c>
      <c r="F507" t="inlineStr">
        <is>
          <t>fanout_batch</t>
        </is>
      </c>
      <c r="G507" t="inlineStr">
        <is>
          <t>reuse</t>
        </is>
      </c>
      <c r="H507" t="inlineStr">
        <is>
          <t>seed_plaid_data_scientist</t>
        </is>
      </c>
      <c r="I507" t="inlineStr">
        <is>
          <t>Plaid Data Scientist</t>
        </is>
      </c>
      <c r="J507"/>
      <c r="K507"/>
      <c r="L507"/>
      <c r="M507"/>
      <c r="N507"/>
      <c r="O507"/>
      <c r="P507"/>
      <c r="Q507"/>
      <c r="R507">
        <f>HYPERLINK("https://careers.vizientinc.com/careers/job/446717739423?source=LinkedIn","https://careers.vizientinc.com/careers/job/446717739423?source=LinkedIn")</f>
      </c>
    </row>
    <row r="508">
      <c r="A508" t="inlineStr">
        <is>
          <t>GEI Consultants, Inc.</t>
        </is>
      </c>
      <c r="B508" t="inlineStr">
        <is>
          <t>2026-04-03 15:59:07</t>
        </is>
      </c>
      <c r="C508" t="inlineStr">
        <is>
          <t>69d02a1bcfdc6132f9438e58</t>
        </is>
      </c>
      <c r="D508" t="inlineStr">
        <is>
          <t>AI Engineer</t>
        </is>
      </c>
      <c r="E508" t="inlineStr">
        <is>
          <t>1_Discovered</t>
        </is>
      </c>
      <c r="F508" t="inlineStr">
        <is>
          <t>fanout_batch</t>
        </is>
      </c>
      <c r="G508" t="inlineStr">
        <is>
          <t>retarget</t>
        </is>
      </c>
      <c r="H508" t="inlineStr">
        <is>
          <t>seed_h2o_ai_engineer</t>
        </is>
      </c>
      <c r="I508" t="inlineStr">
        <is>
          <t>H2O AI Engineer</t>
        </is>
      </c>
      <c r="J508"/>
      <c r="K508"/>
      <c r="L508"/>
      <c r="M508"/>
      <c r="N508">
        <v>78.7</v>
      </c>
      <c r="O508" t="inlineStr">
        <is>
          <t>fail</t>
        </is>
      </c>
      <c r="P508">
        <f>HYPERLINK("file:///Users/jingyizhang/Documents/Playground/projects/local_job_resume_pipeline/data/deliverables/resume_portfolio/by_company/gei-consultants-inc/2026-04-03/69d02a1bcfdc6132f9438e58/resume.md","/Users/jingyizhang/Documents/Playground/projects/local_job_resume_pipeline/data/deliverables/resume_portfolio/by_company/gei-consultants-inc/2026-04-03/69d02a1bcfdc6132f9438e58/resume.md")</f>
      </c>
      <c r="Q508"/>
      <c r="R508">
        <f>HYPERLINK("https://jointeamgei.geiconsultants.com/jobs/17170782-ai-engineer?tm_job=856161-OTHLOC-CFCxYfww&amp;tm_event=view&amp;tm_company=90289&amp;bid=56","https://jointeamgei.geiconsultants.com/jobs/17170782-ai-engineer?tm_job=856161-OTHLOC-CFCxYfww&amp;tm_event=view&amp;tm_company=90289&amp;bid=56")</f>
      </c>
    </row>
    <row r="509">
      <c r="A509" t="inlineStr">
        <is>
          <t>CodeRabbit</t>
        </is>
      </c>
      <c r="B509" t="inlineStr">
        <is>
          <t>2026-04-03 15:58:48</t>
        </is>
      </c>
      <c r="C509" t="inlineStr">
        <is>
          <t>69d02a08cdb525785fba7ed5</t>
        </is>
      </c>
      <c r="D509" t="inlineStr">
        <is>
          <t>Full Stack Engineer</t>
        </is>
      </c>
      <c r="E509" t="inlineStr">
        <is>
          <t>1_Discovered</t>
        </is>
      </c>
      <c r="F509" t="inlineStr">
        <is>
          <t>fanout_batch</t>
        </is>
      </c>
      <c r="G509" t="inlineStr">
        <is>
          <t>retarget</t>
        </is>
      </c>
      <c r="H509" t="inlineStr">
        <is>
          <t>seed_egen_fullstack_node</t>
        </is>
      </c>
      <c r="I509" t="inlineStr">
        <is>
          <t>Egen Fullstack Node</t>
        </is>
      </c>
      <c r="J509"/>
      <c r="K509"/>
      <c r="L509"/>
      <c r="M509"/>
      <c r="N509">
        <v>94.1</v>
      </c>
      <c r="O509" t="inlineStr">
        <is>
          <t>pass</t>
        </is>
      </c>
      <c r="P509">
        <f>HYPERLINK("file:///Users/jingyizhang/Documents/Playground/projects/local_job_resume_pipeline/data/deliverables/resume_portfolio/by_company/coderabbit/2026-04-03/69d02a08cdb525785fba7ed5/resume.md","/Users/jingyizhang/Documents/Playground/projects/local_job_resume_pipeline/data/deliverables/resume_portfolio/by_company/coderabbit/2026-04-03/69d02a08cdb525785fba7ed5/resume.md")</f>
      </c>
      <c r="Q509"/>
      <c r="R509">
        <f>HYPERLINK("https://jobs.ashbyhq.com/coderabbit/92b33382-63f5-48bd-be54-b7640fd1ab45/application?utm_source=WvYGavjo8G","https://jobs.ashbyhq.com/coderabbit/92b33382-63f5-48bd-be54-b7640fd1ab45/application?utm_source=WvYGavjo8G")</f>
      </c>
    </row>
    <row r="510">
      <c r="A510" t="inlineStr">
        <is>
          <t>Equifax</t>
        </is>
      </c>
      <c r="B510" t="inlineStr">
        <is>
          <t>2026-04-03 15:57:17</t>
        </is>
      </c>
      <c r="C510" t="inlineStr">
        <is>
          <t>69d029ad0b098b7a67076d09</t>
        </is>
      </c>
      <c r="D510" t="inlineStr">
        <is>
          <t>Data Analyst - AI Product Development</t>
        </is>
      </c>
      <c r="E510" t="inlineStr">
        <is>
          <t>1_Discovered</t>
        </is>
      </c>
      <c r="F510" t="inlineStr">
        <is>
          <t>fanout_batch</t>
        </is>
      </c>
      <c r="G510" t="inlineStr">
        <is>
          <t>retarget</t>
        </is>
      </c>
      <c r="H510" t="inlineStr">
        <is>
          <t>seed_qualified_health_data_engineer</t>
        </is>
      </c>
      <c r="I510" t="inlineStr">
        <is>
          <t>Qualified Health Data Engineer</t>
        </is>
      </c>
      <c r="J510"/>
      <c r="K510"/>
      <c r="L510"/>
      <c r="M510"/>
      <c r="N510">
        <v>94.3</v>
      </c>
      <c r="O510" t="inlineStr">
        <is>
          <t>pass</t>
        </is>
      </c>
      <c r="P510">
        <f>HYPERLINK("file:///Users/jingyizhang/Documents/Playground/projects/local_job_resume_pipeline/data/deliverables/resume_portfolio/by_company/equifax/2026-04-03/69d029ad0b098b7a67076d09/resume.md","/Users/jingyizhang/Documents/Playground/projects/local_job_resume_pipeline/data/deliverables/resume_portfolio/by_company/equifax/2026-04-03/69d029ad0b098b7a67076d09/resume.md")</f>
      </c>
      <c r="Q510"/>
      <c r="R510">
        <f>HYPERLINK("https://equifax.wd5.myworkdayjobs.com/external/job/USA---Atlanta---One-Atlantic-Center/Data-Analyst---AI-Product-Development_J00176164","https://equifax.wd5.myworkdayjobs.com/external/job/USA---Atlanta---One-Atlantic-Center/Data-Analyst---AI-Product-Development_J00176164")</f>
      </c>
    </row>
    <row r="511">
      <c r="A511" t="inlineStr">
        <is>
          <t>Windfall</t>
        </is>
      </c>
      <c r="B511" t="inlineStr">
        <is>
          <t>2026-04-03 15:57:08</t>
        </is>
      </c>
      <c r="C511" t="inlineStr">
        <is>
          <t>696abc38350cf4380311c698</t>
        </is>
      </c>
      <c r="D511" t="inlineStr">
        <is>
          <t>Full Stack Engineer</t>
        </is>
      </c>
      <c r="E511" t="inlineStr">
        <is>
          <t>1_Discovered</t>
        </is>
      </c>
      <c r="F511" t="inlineStr">
        <is>
          <t>seed_validation</t>
        </is>
      </c>
      <c r="G511" t="inlineStr">
        <is>
          <t>reuse</t>
        </is>
      </c>
      <c r="H511" t="inlineStr">
        <is>
          <t>seed_profound_fullstack_ts_node</t>
        </is>
      </c>
      <c r="I511" t="inlineStr">
        <is>
          <t>Profound Fullstack TS Node</t>
        </is>
      </c>
      <c r="J511"/>
      <c r="K511"/>
      <c r="L511"/>
      <c r="M511"/>
      <c r="N511"/>
      <c r="O511"/>
      <c r="P511"/>
      <c r="Q511"/>
      <c r="R511">
        <f>HYPERLINK("https://jobs.lever.co/windfalldata/3115a138-72f0-4269-ab41-afd871eb3e28?lever-source=jobright","https://jobs.lever.co/windfalldata/3115a138-72f0-4269-ab41-afd871eb3e28?lever-source=jobright")</f>
      </c>
    </row>
    <row r="512">
      <c r="A512" t="inlineStr">
        <is>
          <t>eBay</t>
        </is>
      </c>
      <c r="B512" t="inlineStr">
        <is>
          <t>2026-04-03 15:48:01</t>
        </is>
      </c>
      <c r="C512" t="inlineStr">
        <is>
          <t>69d027810b098b7a67076cc3</t>
        </is>
      </c>
      <c r="D512" t="inlineStr">
        <is>
          <t>Applied Researcher I</t>
        </is>
      </c>
      <c r="E512" t="inlineStr">
        <is>
          <t>1_Discovered</t>
        </is>
      </c>
      <c r="F512" t="inlineStr">
        <is>
          <t>fanout_batch</t>
        </is>
      </c>
      <c r="G512" t="inlineStr">
        <is>
          <t>retarget</t>
        </is>
      </c>
      <c r="H512" t="inlineStr">
        <is>
          <t>seed_bytedance_ml_grad</t>
        </is>
      </c>
      <c r="I512" t="inlineStr">
        <is>
          <t>ByteDance ML Grad</t>
        </is>
      </c>
      <c r="J512"/>
      <c r="K512"/>
      <c r="L512"/>
      <c r="M512"/>
      <c r="N512">
        <v>94.5</v>
      </c>
      <c r="O512" t="inlineStr">
        <is>
          <t>pass</t>
        </is>
      </c>
      <c r="P512">
        <f>HYPERLINK("file:///Users/jingyizhang/Documents/Playground/projects/local_job_resume_pipeline/data/deliverables/resume_portfolio/by_company/ebay/2026-04-03/69d027810b098b7a67076cc3/resume.md","/Users/jingyizhang/Documents/Playground/projects/local_job_resume_pipeline/data/deliverables/resume_portfolio/by_company/ebay/2026-04-03/69d027810b098b7a67076cc3/resume.md")</f>
      </c>
      <c r="Q512"/>
      <c r="R512">
        <f>HYPERLINK("https://jobs.ebayinc.com/us/en/job/EBAEBAUSR0073209EXTERNALENUS/Applied-Researcher-I?utm_source=linkedin&amp;utm_medium=phenom-feeds","https://jobs.ebayinc.com/us/en/job/EBAEBAUSR0073209EXTERNALENUS/Applied-Researcher-I?utm_source=linkedin&amp;utm_medium=phenom-feeds")</f>
      </c>
    </row>
    <row r="513">
      <c r="A513" t="inlineStr">
        <is>
          <t>CBRE</t>
        </is>
      </c>
      <c r="B513" t="inlineStr">
        <is>
          <t>2026-04-03 15:43:10</t>
        </is>
      </c>
      <c r="C513" t="inlineStr">
        <is>
          <t>69d0265ecdb525785fba7bfa</t>
        </is>
      </c>
      <c r="D513" t="inlineStr">
        <is>
          <t>Software Engineer</t>
        </is>
      </c>
      <c r="E513" t="inlineStr">
        <is>
          <t>1_Discovered</t>
        </is>
      </c>
      <c r="F513" t="inlineStr">
        <is>
          <t>fanout_batch</t>
        </is>
      </c>
      <c r="G513" t="inlineStr">
        <is>
          <t>reuse</t>
        </is>
      </c>
      <c r="H513" t="inlineStr">
        <is>
          <t>seed_aws_generalist_embedded</t>
        </is>
      </c>
      <c r="I513" t="inlineStr">
        <is>
          <t>AWS Generalist Embedded</t>
        </is>
      </c>
      <c r="J513"/>
      <c r="K513"/>
      <c r="L513"/>
      <c r="M513"/>
      <c r="N513"/>
      <c r="O513"/>
      <c r="P513"/>
      <c r="Q513"/>
      <c r="R513">
        <f>HYPERLINK("https://careers.cbre.com/en_US/careers/JobDetail/Software-Engineer/256384?source=Linkedin","https://careers.cbre.com/en_US/careers/JobDetail/Software-Engineer/256384?source=Linkedin")</f>
      </c>
    </row>
    <row r="514">
      <c r="A514" t="inlineStr">
        <is>
          <t>CBRE</t>
        </is>
      </c>
      <c r="B514" t="inlineStr">
        <is>
          <t>2026-04-03 15:41:38</t>
        </is>
      </c>
      <c r="C514" t="inlineStr">
        <is>
          <t>69d026020b098b7a67076c74</t>
        </is>
      </c>
      <c r="D514" t="inlineStr">
        <is>
          <t>Software Sr Engineer</t>
        </is>
      </c>
      <c r="E514" t="inlineStr">
        <is>
          <t>1_Discovered</t>
        </is>
      </c>
      <c r="F514" t="inlineStr">
        <is>
          <t>fanout_batch</t>
        </is>
      </c>
      <c r="G514" t="inlineStr">
        <is>
          <t>reuse</t>
        </is>
      </c>
      <c r="H514" t="inlineStr">
        <is>
          <t>seed_aws_generalist_embedded</t>
        </is>
      </c>
      <c r="I514" t="inlineStr">
        <is>
          <t>AWS Generalist Embedded</t>
        </is>
      </c>
      <c r="J514"/>
      <c r="K514"/>
      <c r="L514"/>
      <c r="M514"/>
      <c r="N514"/>
      <c r="O514"/>
      <c r="P514"/>
      <c r="Q514"/>
      <c r="R514">
        <f>HYPERLINK("https://careers.cbre.com/en_US/careers/JobDetail/Software-Sr-Engineer/256388?source=Linkedin","https://careers.cbre.com/en_US/careers/JobDetail/Software-Sr-Engineer/256388?source=Linkedin")</f>
      </c>
    </row>
    <row r="515">
      <c r="A515" t="inlineStr">
        <is>
          <t>Lucid Software</t>
        </is>
      </c>
      <c r="B515" t="inlineStr">
        <is>
          <t>2026-04-03 15:24:12</t>
        </is>
      </c>
      <c r="C515" t="inlineStr">
        <is>
          <t>69d021ec366bb95ba551b8e2</t>
        </is>
      </c>
      <c r="D515" t="inlineStr">
        <is>
          <t>Data Analyst</t>
        </is>
      </c>
      <c r="E515" t="inlineStr">
        <is>
          <t>1_Discovered</t>
        </is>
      </c>
      <c r="F515" t="inlineStr">
        <is>
          <t>fanout_batch</t>
        </is>
      </c>
      <c r="G515" t="inlineStr">
        <is>
          <t>reuse</t>
        </is>
      </c>
      <c r="H515" t="inlineStr">
        <is>
          <t>seed_plaid_data_scientist</t>
        </is>
      </c>
      <c r="I515" t="inlineStr">
        <is>
          <t>Plaid Data Scientist</t>
        </is>
      </c>
      <c r="J515"/>
      <c r="K515"/>
      <c r="L515"/>
      <c r="M515"/>
      <c r="N515"/>
      <c r="O515"/>
      <c r="P515"/>
      <c r="Q515"/>
      <c r="R515">
        <f>HYPERLINK("https://boards.greenhouse.io/embed/job_app?token=5844982004&amp;utm_source=jobright","https://boards.greenhouse.io/embed/job_app?token=5844982004&amp;utm_source=jobright")</f>
      </c>
    </row>
    <row r="516">
      <c r="A516" t="inlineStr">
        <is>
          <t>Uber Freight</t>
        </is>
      </c>
      <c r="B516" t="inlineStr">
        <is>
          <t>2026-04-03 15:22:56</t>
        </is>
      </c>
      <c r="C516" t="inlineStr">
        <is>
          <t>69d021a0cdb525785fba7983</t>
        </is>
      </c>
      <c r="D516" t="inlineStr">
        <is>
          <t>Applied Scientist III</t>
        </is>
      </c>
      <c r="E516" t="inlineStr">
        <is>
          <t>1_Discovered</t>
        </is>
      </c>
      <c r="F516" t="inlineStr">
        <is>
          <t>fanout_batch</t>
        </is>
      </c>
      <c r="G516" t="inlineStr">
        <is>
          <t>reuse</t>
        </is>
      </c>
      <c r="H516" t="inlineStr">
        <is>
          <t>seed_plaid_data_scientist</t>
        </is>
      </c>
      <c r="I516" t="inlineStr">
        <is>
          <t>Plaid Data Scientist</t>
        </is>
      </c>
      <c r="J516"/>
      <c r="K516"/>
      <c r="L516"/>
      <c r="M516"/>
      <c r="N516"/>
      <c r="O516"/>
      <c r="P516"/>
      <c r="Q516"/>
      <c r="R516">
        <f>HYPERLINK("https://boards.greenhouse.io/embed/job_app?token=5171890008&amp;utm_source=jobright","https://boards.greenhouse.io/embed/job_app?token=5171890008&amp;utm_source=jobright")</f>
      </c>
    </row>
    <row r="517">
      <c r="A517" t="inlineStr">
        <is>
          <t>QuinStreet</t>
        </is>
      </c>
      <c r="B517" t="inlineStr">
        <is>
          <t>2026-04-03 15:22:02</t>
        </is>
      </c>
      <c r="C517" t="inlineStr">
        <is>
          <t>69bdadb4b10602456282a47e</t>
        </is>
      </c>
      <c r="D517" t="inlineStr">
        <is>
          <t>Data Analyst</t>
        </is>
      </c>
      <c r="E517" t="inlineStr">
        <is>
          <t>1_Discovered</t>
        </is>
      </c>
      <c r="F517" t="inlineStr">
        <is>
          <t>fanout_batch</t>
        </is>
      </c>
      <c r="G517" t="inlineStr">
        <is>
          <t>reuse</t>
        </is>
      </c>
      <c r="H517" t="inlineStr">
        <is>
          <t>seed_plaid_data_scientist</t>
        </is>
      </c>
      <c r="I517" t="inlineStr">
        <is>
          <t>Plaid Data Scientist</t>
        </is>
      </c>
      <c r="J517"/>
      <c r="K517"/>
      <c r="L517"/>
      <c r="M517"/>
      <c r="N517"/>
      <c r="O517"/>
      <c r="P517"/>
      <c r="Q517"/>
      <c r="R517">
        <f>HYPERLINK("https://boards.greenhouse.io/embed/job_app?token=7729723&amp;utm_source=jobright","https://boards.greenhouse.io/embed/job_app?token=7729723&amp;utm_source=jobright")</f>
      </c>
    </row>
    <row r="518">
      <c r="A518" t="inlineStr">
        <is>
          <t>WNS</t>
        </is>
      </c>
      <c r="B518" t="inlineStr">
        <is>
          <t>2026-04-03 15:21:35</t>
        </is>
      </c>
      <c r="C518" t="inlineStr">
        <is>
          <t>69d0214fcfdc6132f9438798</t>
        </is>
      </c>
      <c r="D518" t="inlineStr">
        <is>
          <t>Data Scientist</t>
        </is>
      </c>
      <c r="E518" t="inlineStr">
        <is>
          <t>1_Discovered</t>
        </is>
      </c>
      <c r="F518" t="inlineStr">
        <is>
          <t>fanout_batch</t>
        </is>
      </c>
      <c r="G518" t="inlineStr">
        <is>
          <t>retarget</t>
        </is>
      </c>
      <c r="H518" t="inlineStr">
        <is>
          <t>seed_bytedance_ml_grad</t>
        </is>
      </c>
      <c r="I518" t="inlineStr">
        <is>
          <t>ByteDance ML Grad</t>
        </is>
      </c>
      <c r="J518"/>
      <c r="K518"/>
      <c r="L518"/>
      <c r="M518"/>
      <c r="N518">
        <v>94.2</v>
      </c>
      <c r="O518" t="inlineStr">
        <is>
          <t>pass</t>
        </is>
      </c>
      <c r="P518">
        <f>HYPERLINK("file:///Users/jingyizhang/Documents/Playground/projects/local_job_resume_pipeline/data/deliverables/resume_portfolio/by_company/wns/2026-04-03/69d0214fcfdc6132f9438798/resume.md","/Users/jingyizhang/Documents/Playground/projects/local_job_resume_pipeline/data/deliverables/resume_portfolio/by_company/wns/2026-04-03/69d0214fcfdc6132f9438798/resume.md")</f>
      </c>
      <c r="Q518"/>
      <c r="R518">
        <f>HYPERLINK("https://www.linkedin.com/jobs/view/4397316626","https://www.linkedin.com/jobs/view/4397316626")</f>
      </c>
    </row>
    <row r="519">
      <c r="A519" t="inlineStr">
        <is>
          <t>ALTEN Technology USA</t>
        </is>
      </c>
      <c r="B519" t="inlineStr">
        <is>
          <t>2026-04-03 15:20:38</t>
        </is>
      </c>
      <c r="C519" t="inlineStr">
        <is>
          <t>69d02116cdb525785fba786b</t>
        </is>
      </c>
      <c r="D519" t="inlineStr">
        <is>
          <t>AI-Enabled Software Engineer</t>
        </is>
      </c>
      <c r="E519" t="inlineStr">
        <is>
          <t>1_Discovered</t>
        </is>
      </c>
      <c r="F519" t="inlineStr">
        <is>
          <t>seed_validation</t>
        </is>
      </c>
      <c r="G519" t="inlineStr">
        <is>
          <t>reuse</t>
        </is>
      </c>
      <c r="H519" t="inlineStr">
        <is>
          <t>seed_gm_genai</t>
        </is>
      </c>
      <c r="I519" t="inlineStr">
        <is>
          <t>GM Financial GenAI</t>
        </is>
      </c>
      <c r="J519"/>
      <c r="K519"/>
      <c r="L519"/>
      <c r="M519"/>
      <c r="N519"/>
      <c r="O519"/>
      <c r="P519"/>
      <c r="Q519"/>
      <c r="R519">
        <f>HYPERLINK("https://www.linkedin.com/jobs/view/4393898260","https://www.linkedin.com/jobs/view/4393898260")</f>
      </c>
    </row>
    <row r="520">
      <c r="A520" t="inlineStr">
        <is>
          <t>Environmental Science Associates</t>
        </is>
      </c>
      <c r="B520" t="inlineStr">
        <is>
          <t>2026-04-03 15:15:44</t>
        </is>
      </c>
      <c r="C520" t="inlineStr">
        <is>
          <t>69d01ff0366bb95ba551b7ae</t>
        </is>
      </c>
      <c r="D520" t="inlineStr">
        <is>
          <t>Software Engineer-Mid-Level</t>
        </is>
      </c>
      <c r="E520" t="inlineStr">
        <is>
          <t>1_Discovered</t>
        </is>
      </c>
      <c r="F520" t="inlineStr">
        <is>
          <t>fanout_batch</t>
        </is>
      </c>
      <c r="G520" t="inlineStr">
        <is>
          <t>retarget</t>
        </is>
      </c>
      <c r="H520" t="inlineStr">
        <is>
          <t>seed_generalist_dotnet_enterprise</t>
        </is>
      </c>
      <c r="I520" t="inlineStr">
        <is>
          <t>Generalist DotNet Enterprise</t>
        </is>
      </c>
      <c r="J520"/>
      <c r="K520"/>
      <c r="L520"/>
      <c r="M520"/>
      <c r="N520">
        <v>94.1</v>
      </c>
      <c r="O520" t="inlineStr">
        <is>
          <t>pass</t>
        </is>
      </c>
      <c r="P520">
        <f>HYPERLINK("file:///Users/jingyizhang/Documents/Playground/projects/local_job_resume_pipeline/data/deliverables/resume_portfolio/by_company/environmental-science-associates/2026-04-03/69d01ff0366bb95ba551b7ae/resume.md","/Users/jingyizhang/Documents/Playground/projects/local_job_resume_pipeline/data/deliverables/resume_portfolio/by_company/environmental-science-associates/2026-04-03/69d01ff0366bb95ba551b7ae/resume.md")</f>
      </c>
      <c r="Q520"/>
      <c r="R520">
        <f>HYPERLINK("https://www.linkedin.com/jobs/view/4397342729","https://www.linkedin.com/jobs/view/4397342729")</f>
      </c>
    </row>
    <row r="521">
      <c r="A521" t="inlineStr">
        <is>
          <t>Piper Companies</t>
        </is>
      </c>
      <c r="B521" t="inlineStr">
        <is>
          <t>2026-04-03 15:13:34</t>
        </is>
      </c>
      <c r="C521" t="inlineStr">
        <is>
          <t>69d01f6ecdb525785fba7762</t>
        </is>
      </c>
      <c r="D521" t="inlineStr">
        <is>
          <t>Backend Engineer</t>
        </is>
      </c>
      <c r="E521" t="inlineStr">
        <is>
          <t>1_Discovered</t>
        </is>
      </c>
      <c r="F521" t="inlineStr">
        <is>
          <t>fanout_batch</t>
        </is>
      </c>
      <c r="G521" t="inlineStr">
        <is>
          <t>retarget</t>
        </is>
      </c>
      <c r="H521" t="inlineStr">
        <is>
          <t>seed_egen_fullstack_node</t>
        </is>
      </c>
      <c r="I521" t="inlineStr">
        <is>
          <t>Egen Fullstack Node</t>
        </is>
      </c>
      <c r="J521"/>
      <c r="K521"/>
      <c r="L521"/>
      <c r="M521"/>
      <c r="N521">
        <v>98.1</v>
      </c>
      <c r="O521" t="inlineStr">
        <is>
          <t>pass</t>
        </is>
      </c>
      <c r="P521">
        <f>HYPERLINK("file:///Users/jingyizhang/Documents/Playground/projects/local_job_resume_pipeline/data/deliverables/resume_portfolio/by_company/piper-companies/2026-04-03/69d01f6ecdb525785fba7762/resume.md","/Users/jingyizhang/Documents/Playground/projects/local_job_resume_pipeline/data/deliverables/resume_portfolio/by_company/piper-companies/2026-04-03/69d01f6ecdb525785fba7762/resume.md")</f>
      </c>
      <c r="Q521"/>
      <c r="R521">
        <f>HYPERLINK("https://careers.pipercompanies.com/details/163426/backend_engineer","https://careers.pipercompanies.com/details/163426/backend_engineer")</f>
      </c>
    </row>
    <row r="522">
      <c r="A522" t="inlineStr">
        <is>
          <t>Goldman Sachs</t>
        </is>
      </c>
      <c r="B522" t="inlineStr">
        <is>
          <t>2026-04-03 15:12:32</t>
        </is>
      </c>
      <c r="C522" t="inlineStr">
        <is>
          <t>69c8ae57aa3c2c1995e1fc81</t>
        </is>
      </c>
      <c r="D522" t="inlineStr">
        <is>
          <t>Asset &amp; Wealth Management - Software Engineer - Associate - Dallas</t>
        </is>
      </c>
      <c r="E522" t="inlineStr">
        <is>
          <t>1_Discovered</t>
        </is>
      </c>
      <c r="F522" t="inlineStr">
        <is>
          <t>fanout_batch</t>
        </is>
      </c>
      <c r="G522" t="inlineStr">
        <is>
          <t>retarget</t>
        </is>
      </c>
      <c r="H522" t="inlineStr">
        <is>
          <t>seed_microsoft_polyglot_generalist</t>
        </is>
      </c>
      <c r="I522" t="inlineStr">
        <is>
          <t>Microsoft Polyglot Generalist</t>
        </is>
      </c>
      <c r="J522"/>
      <c r="K522"/>
      <c r="L522"/>
      <c r="M522"/>
      <c r="N522">
        <v>94.2</v>
      </c>
      <c r="O522" t="inlineStr">
        <is>
          <t>pass</t>
        </is>
      </c>
      <c r="P522">
        <f>HYPERLINK("file:///Users/jingyizhang/Documents/Playground/projects/local_job_resume_pipeline/data/deliverables/resume_portfolio/by_company/goldman-sachs/2026-04-03/69c8ae57aa3c2c1995e1fc81/resume.md","/Users/jingyizhang/Documents/Playground/projects/local_job_resume_pipeline/data/deliverables/resume_portfolio/by_company/goldman-sachs/2026-04-03/69c8ae57aa3c2c1995e1fc81/resume.md")</f>
      </c>
      <c r="Q522"/>
      <c r="R522">
        <f>HYPERLINK("https://hdpc.fa.us2.oraclecloud.com/hcmUI/CandidateExperience/en/job/160564/?utm_medium=jobshare&amp;mode=job&amp;iis=LinkedIn","https://hdpc.fa.us2.oraclecloud.com/hcmUI/CandidateExperience/en/job/160564/?utm_medium=jobshare&amp;mode=job&amp;iis=LinkedIn")</f>
      </c>
    </row>
    <row r="523">
      <c r="A523" t="inlineStr">
        <is>
          <t>Jerry</t>
        </is>
      </c>
      <c r="B523" t="inlineStr">
        <is>
          <t>2026-04-03 14:53:48</t>
        </is>
      </c>
      <c r="C523" t="inlineStr">
        <is>
          <t>69d01acc891d7b11cfcd89bd</t>
        </is>
      </c>
      <c r="D523" t="inlineStr">
        <is>
          <t>Associate Applied Data Scientist</t>
        </is>
      </c>
      <c r="E523" t="inlineStr">
        <is>
          <t>1_Discovered</t>
        </is>
      </c>
      <c r="F523" t="inlineStr">
        <is>
          <t>fanout_batch</t>
        </is>
      </c>
      <c r="G523" t="inlineStr">
        <is>
          <t>retarget</t>
        </is>
      </c>
      <c r="H523" t="inlineStr">
        <is>
          <t>seed_plaid_data_scientist</t>
        </is>
      </c>
      <c r="I523" t="inlineStr">
        <is>
          <t>Plaid Data Scientist</t>
        </is>
      </c>
      <c r="J523"/>
      <c r="K523"/>
      <c r="L523"/>
      <c r="M523"/>
      <c r="N523">
        <v>94.4</v>
      </c>
      <c r="O523" t="inlineStr">
        <is>
          <t>pass</t>
        </is>
      </c>
      <c r="P523">
        <f>HYPERLINK("file:///Users/jingyizhang/Documents/Playground/projects/local_job_resume_pipeline/data/deliverables/resume_portfolio/by_company/jerry/2026-04-03/69d01acc891d7b11cfcd89bd/resume.md","/Users/jingyizhang/Documents/Playground/projects/local_job_resume_pipeline/data/deliverables/resume_portfolio/by_company/jerry/2026-04-03/69d01acc891d7b11cfcd89bd/resume.md")</f>
      </c>
      <c r="Q523"/>
      <c r="R523">
        <f>HYPERLINK("https://jobs.ashbyhq.com/Jerry.ai/a204b924-8ba3-44af-a4f1-794e226a6483?utm_source=6Vdva5VPyD","https://jobs.ashbyhq.com/Jerry.ai/a204b924-8ba3-44af-a4f1-794e226a6483?utm_source=6Vdva5VPyD")</f>
      </c>
    </row>
    <row r="524">
      <c r="A524" t="inlineStr">
        <is>
          <t>Johnson Controls</t>
        </is>
      </c>
      <c r="B524" t="inlineStr">
        <is>
          <t>2026-04-03 14:48:09</t>
        </is>
      </c>
      <c r="C524" t="inlineStr">
        <is>
          <t>69d01979366bb95ba551b554</t>
        </is>
      </c>
      <c r="D524" t="inlineStr">
        <is>
          <t>Junior Data Scientist</t>
        </is>
      </c>
      <c r="E524" t="inlineStr">
        <is>
          <t>1_Discovered</t>
        </is>
      </c>
      <c r="F524" t="inlineStr">
        <is>
          <t>fanout_batch</t>
        </is>
      </c>
      <c r="G524" t="inlineStr">
        <is>
          <t>retarget</t>
        </is>
      </c>
      <c r="H524" t="inlineStr">
        <is>
          <t>seed_h2o_ai_engineer</t>
        </is>
      </c>
      <c r="I524" t="inlineStr">
        <is>
          <t>H2O AI Engineer</t>
        </is>
      </c>
      <c r="J524"/>
      <c r="K524"/>
      <c r="L524"/>
      <c r="M524"/>
      <c r="N524">
        <v>91.1</v>
      </c>
      <c r="O524" t="inlineStr">
        <is>
          <t>conditional_pass</t>
        </is>
      </c>
      <c r="P524">
        <f>HYPERLINK("file:///Users/jingyizhang/Documents/Playground/projects/local_job_resume_pipeline/data/deliverables/resume_portfolio/by_company/johnson-controls/2026-04-03/69d01979366bb95ba551b554/resume.md","/Users/jingyizhang/Documents/Playground/projects/local_job_resume_pipeline/data/deliverables/resume_portfolio/by_company/johnson-controls/2026-04-03/69d01979366bb95ba551b554/resume.md")</f>
      </c>
      <c r="Q524"/>
      <c r="R524">
        <f>HYPERLINK("https://jci.wd5.myworkdayjobs.com/JCI/job/Milwaukee-Wisconsin-United-States-of-America/Junior-Data-Scientist_WD30265724-1","https://jci.wd5.myworkdayjobs.com/JCI/job/Milwaukee-Wisconsin-United-States-of-America/Junior-Data-Scientist_WD30265724-1")</f>
      </c>
    </row>
    <row r="525">
      <c r="A525" t="inlineStr">
        <is>
          <t>HYR Global Source Inc</t>
        </is>
      </c>
      <c r="B525" t="inlineStr">
        <is>
          <t>2026-04-03 14:31:18</t>
        </is>
      </c>
      <c r="C525" t="inlineStr">
        <is>
          <t>69d01586cdb525785fba7472</t>
        </is>
      </c>
      <c r="D525" t="inlineStr">
        <is>
          <t>GCP Data Engineer - Fully Remote</t>
        </is>
      </c>
      <c r="E525" t="inlineStr">
        <is>
          <t>1_Discovered</t>
        </is>
      </c>
      <c r="F525" t="inlineStr">
        <is>
          <t>fanout_batch</t>
        </is>
      </c>
      <c r="G525" t="inlineStr">
        <is>
          <t>retarget</t>
        </is>
      </c>
      <c r="H525" t="inlineStr">
        <is>
          <t>seed_qualified_health_data_engineer</t>
        </is>
      </c>
      <c r="I525" t="inlineStr">
        <is>
          <t>Qualified Health Data Engineer</t>
        </is>
      </c>
      <c r="J525"/>
      <c r="K525"/>
      <c r="L525"/>
      <c r="M525"/>
      <c r="N525">
        <v>88.7</v>
      </c>
      <c r="O525" t="inlineStr">
        <is>
          <t>conditional_pass</t>
        </is>
      </c>
      <c r="P525">
        <f>HYPERLINK("file:///Users/jingyizhang/Documents/Playground/projects/local_job_resume_pipeline/data/deliverables/resume_portfolio/by_company/hyr-global-source-inc/2026-04-03/69d01586cdb525785fba7472/resume.md","/Users/jingyizhang/Documents/Playground/projects/local_job_resume_pipeline/data/deliverables/resume_portfolio/by_company/hyr-global-source-inc/2026-04-03/69d01586cdb525785fba7472/resume.md")</f>
      </c>
      <c r="Q525"/>
      <c r="R525">
        <f>HYPERLINK("https://www.linkedin.com/jobs/view/4380369112","https://www.linkedin.com/jobs/view/4380369112")</f>
      </c>
    </row>
    <row r="526">
      <c r="A526" t="inlineStr">
        <is>
          <t>BeaconFire Inc.</t>
        </is>
      </c>
      <c r="B526" t="inlineStr">
        <is>
          <t>2026-04-03 14:26:20</t>
        </is>
      </c>
      <c r="C526" t="inlineStr">
        <is>
          <t>69d0145c891d7b11cfcd8788</t>
        </is>
      </c>
      <c r="D526" t="inlineStr">
        <is>
          <t>Data Engineer</t>
        </is>
      </c>
      <c r="E526" t="inlineStr">
        <is>
          <t>1_Discovered</t>
        </is>
      </c>
      <c r="F526" t="inlineStr">
        <is>
          <t>fanout_batch</t>
        </is>
      </c>
      <c r="G526" t="inlineStr">
        <is>
          <t>retarget</t>
        </is>
      </c>
      <c r="H526" t="inlineStr">
        <is>
          <t>seed_qualified_health_data_engineer</t>
        </is>
      </c>
      <c r="I526" t="inlineStr">
        <is>
          <t>Qualified Health Data Engineer</t>
        </is>
      </c>
      <c r="J526"/>
      <c r="K526"/>
      <c r="L526"/>
      <c r="M526"/>
      <c r="N526">
        <v>93.1</v>
      </c>
      <c r="O526" t="inlineStr">
        <is>
          <t>pass</t>
        </is>
      </c>
      <c r="P526">
        <f>HYPERLINK("file:///Users/jingyizhang/Documents/Playground/projects/local_job_resume_pipeline/data/deliverables/resume_portfolio/by_company/beaconfire-inc/2026-04-03/69d0145c891d7b11cfcd8788/resume.md","/Users/jingyizhang/Documents/Playground/projects/local_job_resume_pipeline/data/deliverables/resume_portfolio/by_company/beaconfire-inc/2026-04-03/69d0145c891d7b11cfcd8788/resume.md")</f>
      </c>
      <c r="Q526"/>
      <c r="R526">
        <f>HYPERLINK("https://www.linkedin.com/jobs/view/4397572677","https://www.linkedin.com/jobs/view/4397572677")</f>
      </c>
    </row>
    <row r="527">
      <c r="A527" t="inlineStr">
        <is>
          <t>Helm</t>
        </is>
      </c>
      <c r="B527" t="inlineStr">
        <is>
          <t>2026-04-03 14:26:12</t>
        </is>
      </c>
      <c r="C527" t="inlineStr">
        <is>
          <t>69d01454cdb525785fba7444</t>
        </is>
      </c>
      <c r="D527" t="inlineStr">
        <is>
          <t>Business Intelligence Analyst</t>
        </is>
      </c>
      <c r="E527" t="inlineStr">
        <is>
          <t>1_Discovered</t>
        </is>
      </c>
      <c r="F527" t="inlineStr">
        <is>
          <t>fanout_batch</t>
        </is>
      </c>
      <c r="G527" t="inlineStr">
        <is>
          <t>reuse</t>
        </is>
      </c>
      <c r="H527" t="inlineStr">
        <is>
          <t>seed_plaid_data_scientist</t>
        </is>
      </c>
      <c r="I527" t="inlineStr">
        <is>
          <t>Plaid Data Scientist</t>
        </is>
      </c>
      <c r="J527"/>
      <c r="K527"/>
      <c r="L527"/>
      <c r="M527"/>
      <c r="N527"/>
      <c r="O527"/>
      <c r="P527"/>
      <c r="Q527"/>
      <c r="R527">
        <f>HYPERLINK("https://recruiting.paylocity.com/Recruiting/Jobs/Details/4050645?src=paylocity","https://recruiting.paylocity.com/Recruiting/Jobs/Details/4050645?src=paylocity")</f>
      </c>
    </row>
    <row r="528">
      <c r="A528" t="inlineStr">
        <is>
          <t>Aura</t>
        </is>
      </c>
      <c r="B528" t="inlineStr">
        <is>
          <t>2026-04-03 14:26:12</t>
        </is>
      </c>
      <c r="C528" t="inlineStr">
        <is>
          <t>69d01454cdb525785fba743e</t>
        </is>
      </c>
      <c r="D528" t="inlineStr">
        <is>
          <t>Software Engineer, Backend</t>
        </is>
      </c>
      <c r="E528" t="inlineStr">
        <is>
          <t>1_Discovered</t>
        </is>
      </c>
      <c r="F528" t="inlineStr">
        <is>
          <t>fanout_batch</t>
        </is>
      </c>
      <c r="G528" t="inlineStr">
        <is>
          <t>reuse</t>
        </is>
      </c>
      <c r="H528" t="inlineStr">
        <is>
          <t>seed_aws_support_backend_anchor</t>
        </is>
      </c>
      <c r="I528" t="inlineStr">
        <is>
          <t>AWS Support Backend Anchor</t>
        </is>
      </c>
      <c r="J528"/>
      <c r="K528"/>
      <c r="L528"/>
      <c r="M528"/>
      <c r="N528"/>
      <c r="O528"/>
      <c r="P528"/>
      <c r="Q528"/>
      <c r="R528">
        <f>HYPERLINK("https://boards.greenhouse.io/embed/job_app?token=5837490004&amp;utm_source=jobright","https://boards.greenhouse.io/embed/job_app?token=5837490004&amp;utm_source=jobright")</f>
      </c>
    </row>
    <row r="529">
      <c r="A529" t="inlineStr">
        <is>
          <t>Further</t>
        </is>
      </c>
      <c r="B529" t="inlineStr">
        <is>
          <t>2026-04-03 14:26:11</t>
        </is>
      </c>
      <c r="C529" t="inlineStr">
        <is>
          <t>69d01453891d7b11cfcd8760</t>
        </is>
      </c>
      <c r="D529" t="inlineStr">
        <is>
          <t>Data Science Analyst</t>
        </is>
      </c>
      <c r="E529" t="inlineStr">
        <is>
          <t>1_Discovered</t>
        </is>
      </c>
      <c r="F529" t="inlineStr">
        <is>
          <t>fanout_batch</t>
        </is>
      </c>
      <c r="G529" t="inlineStr">
        <is>
          <t>reuse</t>
        </is>
      </c>
      <c r="H529" t="inlineStr">
        <is>
          <t>seed_plaid_data_scientist</t>
        </is>
      </c>
      <c r="I529" t="inlineStr">
        <is>
          <t>Plaid Data Scientist</t>
        </is>
      </c>
      <c r="J529"/>
      <c r="K529"/>
      <c r="L529"/>
      <c r="M529"/>
      <c r="N529"/>
      <c r="O529"/>
      <c r="P529"/>
      <c r="Q529"/>
      <c r="R529">
        <f>HYPERLINK("https://boards.greenhouse.io/embed/job_app?token=8493649002&amp;utm_source=jobright","https://boards.greenhouse.io/embed/job_app?token=8493649002&amp;utm_source=jobright")</f>
      </c>
    </row>
    <row r="530">
      <c r="A530" t="inlineStr">
        <is>
          <t>Hone Health</t>
        </is>
      </c>
      <c r="B530" t="inlineStr">
        <is>
          <t>2026-04-03 14:25:47</t>
        </is>
      </c>
      <c r="C530" t="inlineStr">
        <is>
          <t>69d0143bcfdc6132f9438326</t>
        </is>
      </c>
      <c r="D530" t="inlineStr">
        <is>
          <t>Senior Business Intelligence Analyst, Product</t>
        </is>
      </c>
      <c r="E530" t="inlineStr">
        <is>
          <t>1_Discovered</t>
        </is>
      </c>
      <c r="F530" t="inlineStr">
        <is>
          <t>fanout_batch</t>
        </is>
      </c>
      <c r="G530" t="inlineStr">
        <is>
          <t>retarget</t>
        </is>
      </c>
      <c r="H530" t="inlineStr">
        <is>
          <t>seed_h2o_ai_engineer</t>
        </is>
      </c>
      <c r="I530" t="inlineStr">
        <is>
          <t>H2O AI Engineer</t>
        </is>
      </c>
      <c r="J530"/>
      <c r="K530"/>
      <c r="L530"/>
      <c r="M530"/>
      <c r="N530">
        <v>93.3</v>
      </c>
      <c r="O530" t="inlineStr">
        <is>
          <t>pass</t>
        </is>
      </c>
      <c r="P530">
        <f>HYPERLINK("file:///Users/jingyizhang/Documents/Playground/projects/local_job_resume_pipeline/data/deliverables/resume_portfolio/by_company/hone-health/2026-04-03/69d0143bcfdc6132f9438326/resume.md","/Users/jingyizhang/Documents/Playground/projects/local_job_resume_pipeline/data/deliverables/resume_portfolio/by_company/hone-health/2026-04-03/69d0143bcfdc6132f9438326/resume.md")</f>
      </c>
      <c r="Q530"/>
      <c r="R530">
        <f>HYPERLINK("https://boards.greenhouse.io/embed/job_app?token=4878725008&amp;utm_source=jobright","https://boards.greenhouse.io/embed/job_app?token=4878725008&amp;utm_source=jobright")</f>
      </c>
    </row>
    <row r="531">
      <c r="A531" t="inlineStr">
        <is>
          <t>One Inc</t>
        </is>
      </c>
      <c r="B531" t="inlineStr">
        <is>
          <t>2026-04-03 14:23:26</t>
        </is>
      </c>
      <c r="C531" t="inlineStr">
        <is>
          <t>69d013ae366bb95ba551b3a9</t>
        </is>
      </c>
      <c r="D531" t="inlineStr">
        <is>
          <t>Data Analyst III</t>
        </is>
      </c>
      <c r="E531" t="inlineStr">
        <is>
          <t>1_Discovered</t>
        </is>
      </c>
      <c r="F531" t="inlineStr">
        <is>
          <t>fanout_batch</t>
        </is>
      </c>
      <c r="G531" t="inlineStr">
        <is>
          <t>retarget</t>
        </is>
      </c>
      <c r="H531" t="inlineStr">
        <is>
          <t>seed_plaid_data_scientist</t>
        </is>
      </c>
      <c r="I531" t="inlineStr">
        <is>
          <t>Plaid Data Scientist</t>
        </is>
      </c>
      <c r="J531"/>
      <c r="K531"/>
      <c r="L531"/>
      <c r="M531"/>
      <c r="N531">
        <v>93.2</v>
      </c>
      <c r="O531" t="inlineStr">
        <is>
          <t>pass</t>
        </is>
      </c>
      <c r="P531">
        <f>HYPERLINK("file:///Users/jingyizhang/Documents/Playground/projects/local_job_resume_pipeline/data/deliverables/resume_portfolio/by_company/one-inc/2026-04-03/69d013ae366bb95ba551b3a9/resume.md","/Users/jingyizhang/Documents/Playground/projects/local_job_resume_pipeline/data/deliverables/resume_portfolio/by_company/one-inc/2026-04-03/69d013ae366bb95ba551b3a9/resume.md")</f>
      </c>
      <c r="Q531"/>
      <c r="R531">
        <f>HYPERLINK("https://oneinc.rec.pro.ukg.net/ONE1500ONEI/JobBoard/cab513e3-84a7-4143-9bd8-dcb9e005acfe/OpportunityDetail?opportunityId=f6189202-75d0-487b-b53e-6371a26fdf09","https://oneinc.rec.pro.ukg.net/ONE1500ONEI/JobBoard/cab513e3-84a7-4143-9bd8-dcb9e005acfe/OpportunityDetail?opportunityId=f6189202-75d0-487b-b53e-6371a26fdf09")</f>
      </c>
    </row>
    <row r="532">
      <c r="A532" t="inlineStr">
        <is>
          <t>Honeywell</t>
        </is>
      </c>
      <c r="B532" t="inlineStr">
        <is>
          <t>2026-04-03 14:22:32</t>
        </is>
      </c>
      <c r="C532" t="inlineStr">
        <is>
          <t>69d01378366bb95ba551b25b</t>
        </is>
      </c>
      <c r="D532" t="inlineStr">
        <is>
          <t>AI Engr II</t>
        </is>
      </c>
      <c r="E532" t="inlineStr">
        <is>
          <t>1_Discovered</t>
        </is>
      </c>
      <c r="F532" t="inlineStr">
        <is>
          <t>fanout_batch</t>
        </is>
      </c>
      <c r="G532" t="inlineStr">
        <is>
          <t>retarget</t>
        </is>
      </c>
      <c r="H532" t="inlineStr">
        <is>
          <t>seed_amazon_agi_ml_anchor</t>
        </is>
      </c>
      <c r="I532" t="inlineStr">
        <is>
          <t>Amazon AGI/LLM Anchor</t>
        </is>
      </c>
      <c r="J532" t="inlineStr">
        <is>
          <t>amazon_ai_ads_mainline</t>
        </is>
      </c>
      <c r="K532" t="inlineStr">
        <is>
          <t>mainline</t>
        </is>
      </c>
      <c r="L532"/>
      <c r="M532"/>
      <c r="N532">
        <v>94.5</v>
      </c>
      <c r="O532" t="inlineStr">
        <is>
          <t>pass</t>
        </is>
      </c>
      <c r="P532">
        <f>HYPERLINK("file:///Users/jingyizhang/Documents/Playground/projects/local_job_resume_pipeline/data/deliverables/resume_portfolio/by_company/honeywell/2026-04-03/69d01378366bb95ba551b25b/resume.md","/Users/jingyizhang/Documents/Playground/projects/local_job_resume_pipeline/data/deliverables/resume_portfolio/by_company/honeywell/2026-04-03/69d01378366bb95ba551b25b/resume.md")</f>
      </c>
      <c r="Q532"/>
      <c r="R532">
        <f>HYPERLINK("https://ibqbjb.fa.ocs.oraclecloud.com/hcmUI/CandidateExperience/en/sites/Honeywell/job/144777","https://ibqbjb.fa.ocs.oraclecloud.com/hcmUI/CandidateExperience/en/sites/Honeywell/job/144777")</f>
      </c>
    </row>
    <row r="533">
      <c r="A533" t="inlineStr">
        <is>
          <t>Gowan Company</t>
        </is>
      </c>
      <c r="B533" t="inlineStr">
        <is>
          <t>2026-04-03 14:22:10</t>
        </is>
      </c>
      <c r="C533" t="inlineStr">
        <is>
          <t>69d01362cfdc6132f94381e2</t>
        </is>
      </c>
      <c r="D533" t="inlineStr">
        <is>
          <t>Forward Deployed Engineer</t>
        </is>
      </c>
      <c r="E533" t="inlineStr">
        <is>
          <t>1_Discovered</t>
        </is>
      </c>
      <c r="F533" t="inlineStr">
        <is>
          <t>fanout_batch</t>
        </is>
      </c>
      <c r="G533" t="inlineStr">
        <is>
          <t>reuse</t>
        </is>
      </c>
      <c r="H533" t="inlineStr">
        <is>
          <t>seed_itential_generalist_algorithms</t>
        </is>
      </c>
      <c r="I533" t="inlineStr">
        <is>
          <t>Itential Generalist Algorithms</t>
        </is>
      </c>
      <c r="J533"/>
      <c r="K533"/>
      <c r="L533"/>
      <c r="M533"/>
      <c r="N533"/>
      <c r="O533"/>
      <c r="P533"/>
      <c r="Q533"/>
      <c r="R533">
        <f>HYPERLINK("https://workforcenow.adp.com/mascsr/default/mdf/recruitment/recruitment.html?cid=d6018943-073c-4351-be18-e949a4d128ad&amp;jobId=9201058034939_1","https://workforcenow.adp.com/mascsr/default/mdf/recruitment/recruitment.html?cid=d6018943-073c-4351-be18-e949a4d128ad&amp;jobId=9201058034939_1")</f>
      </c>
    </row>
    <row r="534">
      <c r="A534" t="inlineStr">
        <is>
          <t>Apple</t>
        </is>
      </c>
      <c r="B534" t="inlineStr">
        <is>
          <t>2026-04-03 14:21:52</t>
        </is>
      </c>
      <c r="C534" t="inlineStr">
        <is>
          <t>69d013500b098b7a67076356</t>
        </is>
      </c>
      <c r="D534" t="inlineStr">
        <is>
          <t>Senior Software Engineer, Apple Cash</t>
        </is>
      </c>
      <c r="E534" t="inlineStr">
        <is>
          <t>1_Discovered</t>
        </is>
      </c>
      <c r="F534" t="inlineStr">
        <is>
          <t>seed_validation</t>
        </is>
      </c>
      <c r="G534" t="inlineStr">
        <is>
          <t>reuse</t>
        </is>
      </c>
      <c r="H534" t="inlineStr">
        <is>
          <t>seed_cisco_backend_api</t>
        </is>
      </c>
      <c r="I534" t="inlineStr">
        <is>
          <t>Cisco Backend API</t>
        </is>
      </c>
      <c r="J534"/>
      <c r="K534"/>
      <c r="L534"/>
      <c r="M534"/>
      <c r="N534"/>
      <c r="O534"/>
      <c r="P534"/>
      <c r="Q534"/>
      <c r="R534">
        <f>HYPERLINK("https://jobs.apple.com/en-us/details/200644557-0836/senior-software-engineer-apple-cash?team=SFTWR","https://jobs.apple.com/en-us/details/200644557-0836/senior-software-engineer-apple-cash?team=SFTWR")</f>
      </c>
    </row>
    <row r="535">
      <c r="A535" t="inlineStr">
        <is>
          <t>Google</t>
        </is>
      </c>
      <c r="B535" t="inlineStr">
        <is>
          <t>2026-04-03 14:21:50</t>
        </is>
      </c>
      <c r="C535" t="inlineStr">
        <is>
          <t>69d0134ecdb525785fba729c</t>
        </is>
      </c>
      <c r="D535" t="inlineStr">
        <is>
          <t>Software Engineer, Data Center Infrastructure Management Cooling</t>
        </is>
      </c>
      <c r="E535" t="inlineStr">
        <is>
          <t>1_Discovered</t>
        </is>
      </c>
      <c r="F535" t="inlineStr">
        <is>
          <t>retarget_trial</t>
        </is>
      </c>
      <c r="G535" t="inlineStr">
        <is>
          <t>reuse</t>
        </is>
      </c>
      <c r="H535" t="inlineStr">
        <is>
          <t>seed_google_cloud_infra_anchor_candidate</t>
        </is>
      </c>
      <c r="I535" t="inlineStr">
        <is>
          <t>Google Cloud Infra Anchor</t>
        </is>
      </c>
      <c r="J535" t="inlineStr">
        <is>
          <t>google_cloud_infra_mainline</t>
        </is>
      </c>
      <c r="K535" t="inlineStr">
        <is>
          <t>mainline</t>
        </is>
      </c>
      <c r="L535"/>
      <c r="M535"/>
      <c r="N535"/>
      <c r="O535"/>
      <c r="P535"/>
      <c r="Q535"/>
      <c r="R535">
        <f>HYPERLINK("https://www.google.com/about/careers/applications/jobs/results/103917606632596166-software-engineer-data-center-infrastructure-management-cooling?page=1","https://www.google.com/about/careers/applications/jobs/results/103917606632596166-software-engineer-data-center-infrastructure-management-cooling?page=1")</f>
      </c>
    </row>
    <row r="536">
      <c r="A536" t="inlineStr">
        <is>
          <t>Google</t>
        </is>
      </c>
      <c r="B536" t="inlineStr">
        <is>
          <t>2026-04-03 14:21:47</t>
        </is>
      </c>
      <c r="C536" t="inlineStr">
        <is>
          <t>69d0134b891d7b11cfcd85ea</t>
        </is>
      </c>
      <c r="D536" t="inlineStr">
        <is>
          <t>Software Engineer III, Infrastructure, Google Cloud Performance</t>
        </is>
      </c>
      <c r="E536" t="inlineStr">
        <is>
          <t>1_Discovered</t>
        </is>
      </c>
      <c r="F536" t="inlineStr">
        <is>
          <t>seed_source</t>
        </is>
      </c>
      <c r="G536" t="inlineStr">
        <is>
          <t>seed_source</t>
        </is>
      </c>
      <c r="H536" t="inlineStr">
        <is>
          <t>seed_google_cloud_infra_anchor_candidate</t>
        </is>
      </c>
      <c r="I536" t="inlineStr">
        <is>
          <t>Google Cloud Infra Anchor</t>
        </is>
      </c>
      <c r="J536" t="inlineStr">
        <is>
          <t>google_cloud_infra_mainline</t>
        </is>
      </c>
      <c r="K536" t="inlineStr">
        <is>
          <t>mainline</t>
        </is>
      </c>
      <c r="L536"/>
      <c r="M536"/>
      <c r="N536">
        <v>94.4</v>
      </c>
      <c r="O536" t="inlineStr">
        <is>
          <t>pass</t>
        </is>
      </c>
      <c r="P536">
        <f>HYPERLINK("file:///Users/jingyizhang/Documents/Playground/projects/local_job_resume_pipeline/data/deliverables/resume_portfolio/by_company/google/2026-04-03/69d0134b891d7b11cfcd85ea/resume.md","/Users/jingyizhang/Documents/Playground/projects/local_job_resume_pipeline/data/deliverables/resume_portfolio/by_company/google/2026-04-03/69d0134b891d7b11cfcd85ea/resume.md")</f>
      </c>
      <c r="Q536"/>
      <c r="R536">
        <f>HYPERLINK("https://www.google.com/about/careers/applications/jobs/results/80758318338843334-software-engineer-iii-infrastructure-google-cloud-performance?page=77","https://www.google.com/about/careers/applications/jobs/results/80758318338843334-software-engineer-iii-infrastructure-google-cloud-performance?page=77")</f>
      </c>
    </row>
    <row r="537">
      <c r="A537" t="inlineStr">
        <is>
          <t>Microsoft</t>
        </is>
      </c>
      <c r="B537" t="inlineStr">
        <is>
          <t>2026-04-03 14:12:22</t>
        </is>
      </c>
      <c r="C537" t="inlineStr">
        <is>
          <t>69d01116366bb95ba551b1be</t>
        </is>
      </c>
      <c r="D537" t="inlineStr">
        <is>
          <t>Software Engineer II-People &amp; Work Intelligence</t>
        </is>
      </c>
      <c r="E537" t="inlineStr">
        <is>
          <t>1_Discovered</t>
        </is>
      </c>
      <c r="F537" t="inlineStr">
        <is>
          <t>fanout_batch</t>
        </is>
      </c>
      <c r="G537" t="inlineStr">
        <is>
          <t>reuse</t>
        </is>
      </c>
      <c r="H537" t="inlineStr">
        <is>
          <t>seed_microsoft_coreai_platform_anchor</t>
        </is>
      </c>
      <c r="I537" t="inlineStr">
        <is>
          <t>Microsoft CoreAI/BIC Platform Anchor</t>
        </is>
      </c>
      <c r="J537"/>
      <c r="K537"/>
      <c r="L537"/>
      <c r="M537"/>
      <c r="N537"/>
      <c r="O537"/>
      <c r="P537"/>
      <c r="Q537"/>
      <c r="R537">
        <f>HYPERLINK("https://apply.careers.microsoft.com/careers/job/1970393556749600?utm_source=linkedin&amp;domain=microsoft.com&amp;src=LinkedIn","https://apply.careers.microsoft.com/careers/job/1970393556749600?utm_source=linkedin&amp;domain=microsoft.com&amp;src=LinkedIn")</f>
      </c>
    </row>
    <row r="538">
      <c r="A538" t="inlineStr">
        <is>
          <t>Waystar</t>
        </is>
      </c>
      <c r="B538" t="inlineStr">
        <is>
          <t>2026-04-03 14:12:21</t>
        </is>
      </c>
      <c r="C538" t="inlineStr">
        <is>
          <t>69d01115366bb95ba551b1b9</t>
        </is>
      </c>
      <c r="D538" t="inlineStr">
        <is>
          <t>Software Engineer II</t>
        </is>
      </c>
      <c r="E538" t="inlineStr">
        <is>
          <t>1_Discovered</t>
        </is>
      </c>
      <c r="F538" t="inlineStr">
        <is>
          <t>fanout_batch</t>
        </is>
      </c>
      <c r="G538" t="inlineStr">
        <is>
          <t>retarget</t>
        </is>
      </c>
      <c r="H538" t="inlineStr">
        <is>
          <t>seed_generalist_dotnet_enterprise</t>
        </is>
      </c>
      <c r="I538" t="inlineStr">
        <is>
          <t>Generalist DotNet Enterprise</t>
        </is>
      </c>
      <c r="J538"/>
      <c r="K538"/>
      <c r="L538"/>
      <c r="M538"/>
      <c r="N538">
        <v>95.0</v>
      </c>
      <c r="O538" t="inlineStr">
        <is>
          <t>pass</t>
        </is>
      </c>
      <c r="P538">
        <f>HYPERLINK("file:///Users/jingyizhang/Documents/Playground/projects/local_job_resume_pipeline/data/deliverables/resume_portfolio/by_company/waystar/2026-04-03/69d01115366bb95ba551b1b9/resume.md","/Users/jingyizhang/Documents/Playground/projects/local_job_resume_pipeline/data/deliverables/resume_portfolio/by_company/waystar/2026-04-03/69d01115366bb95ba551b1b9/resume.md")</f>
      </c>
      <c r="Q538"/>
      <c r="R538">
        <f>HYPERLINK("https://careers.waystar.com/967D8F718E664556BFD19B3D6287D8A8/job/?vs=1606&amp;utm_source=LinkedIn.com-DE&amp;utm_medium=Social%20Media&amp;utm_campaign=LinkedIn.com","https://careers.waystar.com/967D8F718E664556BFD19B3D6287D8A8/job/?vs=1606&amp;utm_source=LinkedIn.com-DE&amp;utm_medium=Social%20Media&amp;utm_campaign=LinkedIn.com")</f>
      </c>
    </row>
    <row r="539">
      <c r="A539" t="inlineStr">
        <is>
          <t>Microsoft</t>
        </is>
      </c>
      <c r="B539" t="inlineStr">
        <is>
          <t>2026-04-03 14:12:18</t>
        </is>
      </c>
      <c r="C539" t="inlineStr">
        <is>
          <t>69d01112366bb95ba551b1ab</t>
        </is>
      </c>
      <c r="D539" t="inlineStr">
        <is>
          <t>Senior Software Engineer</t>
        </is>
      </c>
      <c r="E539" t="inlineStr">
        <is>
          <t>1_Discovered</t>
        </is>
      </c>
      <c r="F539" t="inlineStr">
        <is>
          <t>fanout_batch</t>
        </is>
      </c>
      <c r="G539" t="inlineStr">
        <is>
          <t>reuse</t>
        </is>
      </c>
      <c r="H539" t="inlineStr">
        <is>
          <t>seed_microsoft_coreai_platform_anchor</t>
        </is>
      </c>
      <c r="I539" t="inlineStr">
        <is>
          <t>Microsoft CoreAI/BIC Platform Anchor</t>
        </is>
      </c>
      <c r="J539"/>
      <c r="K539"/>
      <c r="L539"/>
      <c r="M539"/>
      <c r="N539"/>
      <c r="O539"/>
      <c r="P539"/>
      <c r="Q539"/>
      <c r="R539">
        <f>HYPERLINK("https://apply.careers.microsoft.com/careers/job/1970393556658255?utm_source=linkedin&amp;domain=microsoft.com&amp;src=LinkedIn","https://apply.careers.microsoft.com/careers/job/1970393556658255?utm_source=linkedin&amp;domain=microsoft.com&amp;src=LinkedIn")</f>
      </c>
    </row>
    <row r="540">
      <c r="A540" t="inlineStr">
        <is>
          <t>TikTok</t>
        </is>
      </c>
      <c r="B540" t="inlineStr">
        <is>
          <t>2026-04-03 14:12:01</t>
        </is>
      </c>
      <c r="C540" t="inlineStr">
        <is>
          <t>69d01101891d7b11cfcd8514</t>
        </is>
      </c>
      <c r="D540" t="inlineStr">
        <is>
          <t>Full-stack Engineer, Data Platform - Experimentation &amp; Evaluation</t>
        </is>
      </c>
      <c r="E540" t="inlineStr">
        <is>
          <t>1_Discovered</t>
        </is>
      </c>
      <c r="F540" t="inlineStr">
        <is>
          <t>fanout_batch</t>
        </is>
      </c>
      <c r="G540" t="inlineStr">
        <is>
          <t>retarget</t>
        </is>
      </c>
      <c r="H540" t="inlineStr">
        <is>
          <t>seed_microsoft_polyglot_generalist</t>
        </is>
      </c>
      <c r="I540" t="inlineStr">
        <is>
          <t>Microsoft Polyglot Generalist</t>
        </is>
      </c>
      <c r="J540"/>
      <c r="K540"/>
      <c r="L540"/>
      <c r="M540"/>
      <c r="N540">
        <v>95.3</v>
      </c>
      <c r="O540" t="inlineStr">
        <is>
          <t>pass</t>
        </is>
      </c>
      <c r="P540">
        <f>HYPERLINK("file:///Users/jingyizhang/Documents/Playground/projects/local_job_resume_pipeline/data/deliverables/resume_portfolio/by_company/tiktok/2026-04-03/69d01101891d7b11cfcd8514/resume.md","/Users/jingyizhang/Documents/Playground/projects/local_job_resume_pipeline/data/deliverables/resume_portfolio/by_company/tiktok/2026-04-03/69d01101891d7b11cfcd8514/resume.md")</f>
      </c>
      <c r="Q540"/>
      <c r="R540">
        <f>HYPERLINK("https://www.linkedin.com/jobs/view/4393882485","https://www.linkedin.com/jobs/view/4393882485")</f>
      </c>
    </row>
    <row r="541">
      <c r="A541" t="inlineStr">
        <is>
          <t>Cognizant</t>
        </is>
      </c>
      <c r="B541" t="inlineStr">
        <is>
          <t>2026-04-03 14:11:38</t>
        </is>
      </c>
      <c r="C541" t="inlineStr">
        <is>
          <t>69ccc1e6891d7b11cfcb3440</t>
        </is>
      </c>
      <c r="D541" t="inlineStr">
        <is>
          <t>Data Engineer - Talend &amp; Databricks</t>
        </is>
      </c>
      <c r="E541" t="inlineStr">
        <is>
          <t>1_Discovered</t>
        </is>
      </c>
      <c r="F541" t="inlineStr">
        <is>
          <t>fanout_batch</t>
        </is>
      </c>
      <c r="G541" t="inlineStr">
        <is>
          <t>retarget</t>
        </is>
      </c>
      <c r="H541" t="inlineStr">
        <is>
          <t>seed_qualified_health_data_engineer</t>
        </is>
      </c>
      <c r="I541" t="inlineStr">
        <is>
          <t>Qualified Health Data Engineer</t>
        </is>
      </c>
      <c r="J541"/>
      <c r="K541"/>
      <c r="L541"/>
      <c r="M541"/>
      <c r="N541">
        <v>91.3</v>
      </c>
      <c r="O541" t="inlineStr">
        <is>
          <t>conditional_pass</t>
        </is>
      </c>
      <c r="P541">
        <f>HYPERLINK("file:///Users/jingyizhang/Documents/Playground/projects/local_job_resume_pipeline/data/deliverables/resume_portfolio/by_company/cognizant/2026-04-03/69ccc1e6891d7b11cfcb3440/resume.md","/Users/jingyizhang/Documents/Playground/projects/local_job_resume_pipeline/data/deliverables/resume_portfolio/by_company/cognizant/2026-04-03/69ccc1e6891d7b11cfcb3440/resume.md")</f>
      </c>
      <c r="Q541"/>
      <c r="R541">
        <f>HYPERLINK("https://careers.cognizant.com/global-en/jobs/00068079841/data-engineer-talend-databricks/?source=JB-11500","https://careers.cognizant.com/global-en/jobs/00068079841/data-engineer-talend-databricks/?source=JB-11500")</f>
      </c>
    </row>
    <row r="542">
      <c r="A542" t="inlineStr">
        <is>
          <t>Dataminr</t>
        </is>
      </c>
      <c r="B542" t="inlineStr">
        <is>
          <t>2026-04-03 14:01:45</t>
        </is>
      </c>
      <c r="C542" t="inlineStr">
        <is>
          <t>68d4127b17554c2d9eef5cdc</t>
        </is>
      </c>
      <c r="D542" t="inlineStr">
        <is>
          <t>Senior Software Engineer, Backend</t>
        </is>
      </c>
      <c r="E542" t="inlineStr">
        <is>
          <t>1_Discovered</t>
        </is>
      </c>
      <c r="F542" t="inlineStr">
        <is>
          <t>fanout_batch</t>
        </is>
      </c>
      <c r="G542" t="inlineStr">
        <is>
          <t>retarget</t>
        </is>
      </c>
      <c r="H542" t="inlineStr">
        <is>
          <t>seed_google_cloud_infra_anchor_candidate</t>
        </is>
      </c>
      <c r="I542" t="inlineStr">
        <is>
          <t>Google Cloud Infra Anchor</t>
        </is>
      </c>
      <c r="J542" t="inlineStr">
        <is>
          <t>google_cloud_infra_mainline</t>
        </is>
      </c>
      <c r="K542" t="inlineStr">
        <is>
          <t>mainline</t>
        </is>
      </c>
      <c r="L542"/>
      <c r="M542"/>
      <c r="N542">
        <v>94.0</v>
      </c>
      <c r="O542" t="inlineStr">
        <is>
          <t>pass</t>
        </is>
      </c>
      <c r="P542">
        <f>HYPERLINK("file:///Users/jingyizhang/Documents/Playground/projects/local_job_resume_pipeline/data/deliverables/resume_portfolio/by_company/dataminr/2026-04-03/68d4127b17554c2d9eef5cdc/resume.md","/Users/jingyizhang/Documents/Playground/projects/local_job_resume_pipeline/data/deliverables/resume_portfolio/by_company/dataminr/2026-04-03/68d4127b17554c2d9eef5cdc/resume.md")</f>
      </c>
      <c r="Q542"/>
      <c r="R542">
        <f>HYPERLINK("https://dataminr.wd12.myworkdayjobs.com/en-US/Dataminr/job/US-Remote/Software-Engineer--Backend_JR1652?source=LinkedIn_Sponsored","https://dataminr.wd12.myworkdayjobs.com/en-US/Dataminr/job/US-Remote/Software-Engineer--Backend_JR1652?source=LinkedIn_Sponsored")</f>
      </c>
    </row>
    <row r="543">
      <c r="A543" t="inlineStr">
        <is>
          <t>BMC Software</t>
        </is>
      </c>
      <c r="B543" t="inlineStr">
        <is>
          <t>2026-04-03 13:53:13</t>
        </is>
      </c>
      <c r="C543" t="inlineStr">
        <is>
          <t>69d00c99cfdc6132f9437d58</t>
        </is>
      </c>
      <c r="D543" t="inlineStr">
        <is>
          <t>Sr Site Reliability Engineer</t>
        </is>
      </c>
      <c r="E543" t="inlineStr">
        <is>
          <t>1_Discovered</t>
        </is>
      </c>
      <c r="F543" t="inlineStr">
        <is>
          <t>fanout_batch</t>
        </is>
      </c>
      <c r="G543" t="inlineStr">
        <is>
          <t>retarget</t>
        </is>
      </c>
      <c r="H543" t="inlineStr">
        <is>
          <t>seed_trimedx_platform_multicloud</t>
        </is>
      </c>
      <c r="I543" t="inlineStr">
        <is>
          <t>TRIMEDX Platform Multicloud</t>
        </is>
      </c>
      <c r="J543"/>
      <c r="K543"/>
      <c r="L543"/>
      <c r="M543"/>
      <c r="N543">
        <v>95.2</v>
      </c>
      <c r="O543" t="inlineStr">
        <is>
          <t>pass</t>
        </is>
      </c>
      <c r="P543">
        <f>HYPERLINK("file:///Users/jingyizhang/Documents/Playground/projects/local_job_resume_pipeline/data/deliverables/resume_portfolio/by_company/bmc-software/2026-04-03/69d00c99cfdc6132f9437d58/resume.md","/Users/jingyizhang/Documents/Playground/projects/local_job_resume_pipeline/data/deliverables/resume_portfolio/by_company/bmc-software/2026-04-03/69d00c99cfdc6132f9437d58/resume.md")</f>
      </c>
      <c r="Q543"/>
      <c r="R543">
        <f>HYPERLINK("https://jobs.bmc.com/Careers/JobDetail/Sr-Site-Reliability-Engineer-USA/46551?src=JB-10080","https://jobs.bmc.com/Careers/JobDetail/Sr-Site-Reliability-Engineer-USA/46551?src=JB-10080")</f>
      </c>
    </row>
    <row r="544">
      <c r="A544" t="inlineStr">
        <is>
          <t>HealthPartners</t>
        </is>
      </c>
      <c r="B544" t="inlineStr">
        <is>
          <t>2026-04-03 13:51:34</t>
        </is>
      </c>
      <c r="C544" t="inlineStr">
        <is>
          <t>69d00c36366bb95ba551aafc</t>
        </is>
      </c>
      <c r="D544" t="inlineStr">
        <is>
          <t>Software Engineer – Backend Integration &amp; Modernization</t>
        </is>
      </c>
      <c r="E544" t="inlineStr">
        <is>
          <t>1_Discovered</t>
        </is>
      </c>
      <c r="F544" t="inlineStr">
        <is>
          <t>fanout_batch</t>
        </is>
      </c>
      <c r="G544" t="inlineStr">
        <is>
          <t>reuse</t>
        </is>
      </c>
      <c r="H544" t="inlineStr">
        <is>
          <t>seed_paypal_java_backend</t>
        </is>
      </c>
      <c r="I544" t="inlineStr">
        <is>
          <t>PayPal Java Backend</t>
        </is>
      </c>
      <c r="J544"/>
      <c r="K544"/>
      <c r="L544"/>
      <c r="M544"/>
      <c r="N544"/>
      <c r="O544"/>
      <c r="P544"/>
      <c r="Q544"/>
      <c r="R544">
        <f>HYPERLINK("https://fa-etnv-saasfaprod1.fa.ocs.oraclecloud.com/hcmUI/CandidateExperience/en/sites/CX_4003/job/118688","https://fa-etnv-saasfaprod1.fa.ocs.oraclecloud.com/hcmUI/CandidateExperience/en/sites/CX_4003/job/118688")</f>
      </c>
    </row>
    <row r="545">
      <c r="A545" t="inlineStr">
        <is>
          <t>Amazon</t>
        </is>
      </c>
      <c r="B545" t="inlineStr">
        <is>
          <t>2026-04-03 13:51:24</t>
        </is>
      </c>
      <c r="C545" t="inlineStr">
        <is>
          <t>69d00c2ccdb525785fba6b0b</t>
        </is>
      </c>
      <c r="D545" t="inlineStr">
        <is>
          <t>Robotics - Software Development Engineer</t>
        </is>
      </c>
      <c r="E545" t="inlineStr">
        <is>
          <t>1_Discovered</t>
        </is>
      </c>
      <c r="F545" t="inlineStr">
        <is>
          <t>fanout_batch</t>
        </is>
      </c>
      <c r="G545" t="inlineStr">
        <is>
          <t>retarget</t>
        </is>
      </c>
      <c r="H545" t="inlineStr">
        <is>
          <t>seed_amazon_conversational_ads_backend</t>
        </is>
      </c>
      <c r="I545" t="inlineStr">
        <is>
          <t>Amazon Conversational Ads Backend</t>
        </is>
      </c>
      <c r="J545" t="inlineStr">
        <is>
          <t>amazon_ai_ads_mainline</t>
        </is>
      </c>
      <c r="K545" t="inlineStr">
        <is>
          <t>mainline</t>
        </is>
      </c>
      <c r="L545" t="inlineStr">
        <is>
          <t>yes</t>
        </is>
      </c>
      <c r="M545" t="inlineStr">
        <is>
          <t>amazon_robotics_outlier</t>
        </is>
      </c>
      <c r="N545">
        <v>94.0</v>
      </c>
      <c r="O545" t="inlineStr">
        <is>
          <t>pass</t>
        </is>
      </c>
      <c r="P545">
        <f>HYPERLINK("file:///Users/jingyizhang/Documents/Playground/projects/local_job_resume_pipeline/data/deliverables/resume_portfolio/by_company/amazon/2026-04-03/69d00c2ccdb525785fba6b0b/resume.md","/Users/jingyizhang/Documents/Playground/projects/local_job_resume_pipeline/data/deliverables/resume_portfolio/by_company/amazon/2026-04-03/69d00c2ccdb525785fba6b0b/resume.md")</f>
      </c>
      <c r="Q545"/>
      <c r="R545">
        <f>HYPERLINK("https://www.amazon.jobs/en/jobs/10383254/robotics-software-development-engineer","https://www.amazon.jobs/en/jobs/10383254/robotics-software-development-engineer")</f>
      </c>
    </row>
    <row r="546">
      <c r="A546" t="inlineStr">
        <is>
          <t>HealthPartners</t>
        </is>
      </c>
      <c r="B546" t="inlineStr">
        <is>
          <t>2026-04-03 13:51:23</t>
        </is>
      </c>
      <c r="C546" t="inlineStr">
        <is>
          <t>69d00c2bcfdc6132f9437a2f</t>
        </is>
      </c>
      <c r="D546" t="inlineStr">
        <is>
          <t>Software Engineer – Frontend &amp; Developer Experience</t>
        </is>
      </c>
      <c r="E546" t="inlineStr">
        <is>
          <t>1_Discovered</t>
        </is>
      </c>
      <c r="F546" t="inlineStr">
        <is>
          <t>fanout_batch</t>
        </is>
      </c>
      <c r="G546" t="inlineStr">
        <is>
          <t>reuse</t>
        </is>
      </c>
      <c r="H546" t="inlineStr">
        <is>
          <t>seed_fullstack_java_react_enterprise</t>
        </is>
      </c>
      <c r="I546" t="inlineStr">
        <is>
          <t>Fullstack Java React Enterprise</t>
        </is>
      </c>
      <c r="J546"/>
      <c r="K546"/>
      <c r="L546"/>
      <c r="M546"/>
      <c r="N546"/>
      <c r="O546"/>
      <c r="P546"/>
      <c r="Q546"/>
      <c r="R546">
        <f>HYPERLINK("https://fa-etnv-saasfaprod1.fa.ocs.oraclecloud.com/hcmUI/CandidateExperience/en/sites/CX_4003/job/118689","https://fa-etnv-saasfaprod1.fa.ocs.oraclecloud.com/hcmUI/CandidateExperience/en/sites/CX_4003/job/118689")</f>
      </c>
    </row>
    <row r="547">
      <c r="A547" t="inlineStr">
        <is>
          <t>Tempus AI</t>
        </is>
      </c>
      <c r="B547" t="inlineStr">
        <is>
          <t>2026-04-03 13:51:22</t>
        </is>
      </c>
      <c r="C547" t="inlineStr">
        <is>
          <t>69d00c2acfdc6132f9437a26</t>
        </is>
      </c>
      <c r="D547" t="inlineStr">
        <is>
          <t>Sr. BI Engineer</t>
        </is>
      </c>
      <c r="E547" t="inlineStr">
        <is>
          <t>1_Discovered</t>
        </is>
      </c>
      <c r="F547" t="inlineStr">
        <is>
          <t>fanout_batch</t>
        </is>
      </c>
      <c r="G547" t="inlineStr">
        <is>
          <t>reuse</t>
        </is>
      </c>
      <c r="H547" t="inlineStr">
        <is>
          <t>seed_plaid_data_scientist</t>
        </is>
      </c>
      <c r="I547" t="inlineStr">
        <is>
          <t>Plaid Data Scientist</t>
        </is>
      </c>
      <c r="J547"/>
      <c r="K547"/>
      <c r="L547"/>
      <c r="M547"/>
      <c r="N547"/>
      <c r="O547"/>
      <c r="P547"/>
      <c r="Q547"/>
      <c r="R547">
        <f>HYPERLINK("https://tempus.wd5.myworkdayjobs.com/Tempus_Careers/job/Chicago/Sr-BI-Engineer_JR202600297","https://tempus.wd5.myworkdayjobs.com/Tempus_Careers/job/Chicago/Sr-BI-Engineer_JR202600297")</f>
      </c>
    </row>
    <row r="548">
      <c r="A548" t="inlineStr">
        <is>
          <t>Amazon</t>
        </is>
      </c>
      <c r="B548" t="inlineStr">
        <is>
          <t>2026-04-03 13:51:18</t>
        </is>
      </c>
      <c r="C548" t="inlineStr">
        <is>
          <t>69d00c26cdb525785fba6ae9</t>
        </is>
      </c>
      <c r="D548" t="inlineStr">
        <is>
          <t>Software Development Engineer, Management Plane</t>
        </is>
      </c>
      <c r="E548" t="inlineStr">
        <is>
          <t>1_Discovered</t>
        </is>
      </c>
      <c r="F548" t="inlineStr">
        <is>
          <t>seed_source</t>
        </is>
      </c>
      <c r="G548" t="inlineStr">
        <is>
          <t>seed_source</t>
        </is>
      </c>
      <c r="H548" t="inlineStr">
        <is>
          <t>seed_amazon_management_plane_anchor_candidate</t>
        </is>
      </c>
      <c r="I548" t="inlineStr">
        <is>
          <t>Amazon Management Plane Anchor</t>
        </is>
      </c>
      <c r="J548" t="inlineStr">
        <is>
          <t>amazon_platform_mainline</t>
        </is>
      </c>
      <c r="K548" t="inlineStr">
        <is>
          <t>mainline</t>
        </is>
      </c>
      <c r="L548"/>
      <c r="M548"/>
      <c r="N548">
        <v>93.9</v>
      </c>
      <c r="O548" t="inlineStr">
        <is>
          <t>pass</t>
        </is>
      </c>
      <c r="P548">
        <f>HYPERLINK("file:///Users/jingyizhang/Documents/Playground/projects/local_job_resume_pipeline/data/deliverables/resume_portfolio/by_company/amazon/2026-04-03/69d00c26cdb525785fba6ae9/resume.md","/Users/jingyizhang/Documents/Playground/projects/local_job_resume_pipeline/data/deliverables/resume_portfolio/by_company/amazon/2026-04-03/69d00c26cdb525785fba6ae9/resume.md")</f>
      </c>
      <c r="Q548"/>
      <c r="R548">
        <f>HYPERLINK("https://www.amazon.jobs/en/jobs/10383244/software-development-engineer-management-plane","https://www.amazon.jobs/en/jobs/10383244/software-development-engineer-management-plane")</f>
      </c>
    </row>
    <row r="549">
      <c r="A549" t="inlineStr">
        <is>
          <t>Amazon</t>
        </is>
      </c>
      <c r="B549" t="inlineStr">
        <is>
          <t>2026-04-03 13:51:18</t>
        </is>
      </c>
      <c r="C549" t="inlineStr">
        <is>
          <t>69d00c26cdb525785fba6ae4</t>
        </is>
      </c>
      <c r="D549" t="inlineStr">
        <is>
          <t>AI Builder, Ring</t>
        </is>
      </c>
      <c r="E549" t="inlineStr">
        <is>
          <t>1_Discovered</t>
        </is>
      </c>
      <c r="F549" t="inlineStr">
        <is>
          <t>retarget_trial</t>
        </is>
      </c>
      <c r="G549" t="inlineStr">
        <is>
          <t>new_seed</t>
        </is>
      </c>
      <c r="H549" t="inlineStr">
        <is>
          <t>seed_amazon_agi_ml_anchor</t>
        </is>
      </c>
      <c r="I549" t="inlineStr">
        <is>
          <t>Amazon AGI/LLM Anchor</t>
        </is>
      </c>
      <c r="J549" t="inlineStr">
        <is>
          <t>amazon_ai_ads_mainline</t>
        </is>
      </c>
      <c r="K549" t="inlineStr">
        <is>
          <t>mainline</t>
        </is>
      </c>
      <c r="L549"/>
      <c r="M549"/>
      <c r="N549">
        <v>91.6</v>
      </c>
      <c r="O549" t="inlineStr">
        <is>
          <t>conditional_pass</t>
        </is>
      </c>
      <c r="P549">
        <f>HYPERLINK("file:///Users/jingyizhang/Documents/Playground/projects/local_job_resume_pipeline/data/deliverables/resume_portfolio/by_company/amazon/2026-04-03/69d00c26cdb525785fba6ae4/resume.md","/Users/jingyizhang/Documents/Playground/projects/local_job_resume_pipeline/data/deliverables/resume_portfolio/by_company/amazon/2026-04-03/69d00c26cdb525785fba6ae4/resume.md")</f>
      </c>
      <c r="Q549"/>
      <c r="R549">
        <f>HYPERLINK("https://www.amazon.jobs/en/jobs/10383160/ai-builder-ring","https://www.amazon.jobs/en/jobs/10383160/ai-builder-ring")</f>
      </c>
    </row>
    <row r="550">
      <c r="A550" t="inlineStr">
        <is>
          <t>WEX</t>
        </is>
      </c>
      <c r="B550" t="inlineStr">
        <is>
          <t>2026-04-03 13:51:15</t>
        </is>
      </c>
      <c r="C550" t="inlineStr">
        <is>
          <t>69b37e5aa8ac8e70ff67c5ae</t>
        </is>
      </c>
      <c r="D550" t="inlineStr">
        <is>
          <t>Software Development Engineer 3</t>
        </is>
      </c>
      <c r="E550" t="inlineStr">
        <is>
          <t>1_Discovered</t>
        </is>
      </c>
      <c r="F550" t="inlineStr">
        <is>
          <t>fanout_batch</t>
        </is>
      </c>
      <c r="G550" t="inlineStr">
        <is>
          <t>retarget</t>
        </is>
      </c>
      <c r="H550" t="inlineStr">
        <is>
          <t>seed_cisco_backend_api</t>
        </is>
      </c>
      <c r="I550" t="inlineStr">
        <is>
          <t>Cisco Backend API</t>
        </is>
      </c>
      <c r="J550"/>
      <c r="K550"/>
      <c r="L550"/>
      <c r="M550"/>
      <c r="N550">
        <v>94.7</v>
      </c>
      <c r="O550" t="inlineStr">
        <is>
          <t>pass</t>
        </is>
      </c>
      <c r="P550">
        <f>HYPERLINK("file:///Users/jingyizhang/Documents/Playground/projects/local_job_resume_pipeline/data/deliverables/resume_portfolio/by_company/wex/2026-04-03/69b37e5aa8ac8e70ff67c5ae/resume.md","/Users/jingyizhang/Documents/Playground/projects/local_job_resume_pipeline/data/deliverables/resume_portfolio/by_company/wex/2026-04-03/69b37e5aa8ac8e70ff67c5ae/resume.md")</f>
      </c>
      <c r="Q550"/>
      <c r="R550">
        <f>HYPERLINK("https://careers.wexinc.com/us/en/job/WEXWEXUSR21089EXTERNALENUS/Software-Development-Engineer-3?utm_source=linkedin&amp;utm_medium=phenom-feeds","https://careers.wexinc.com/us/en/job/WEXWEXUSR21089EXTERNALENUS/Software-Development-Engineer-3?utm_source=linkedin&amp;utm_medium=phenom-feeds")</f>
      </c>
    </row>
    <row r="551">
      <c r="A551" t="inlineStr">
        <is>
          <t>Electronic Arts (EA)</t>
        </is>
      </c>
      <c r="B551" t="inlineStr">
        <is>
          <t>2026-04-03 13:51:08</t>
        </is>
      </c>
      <c r="C551" t="inlineStr">
        <is>
          <t>6998280781476f6176b09722</t>
        </is>
      </c>
      <c r="D551" t="inlineStr">
        <is>
          <t>Senior Analyst - American Football, Data and Insights (D&amp;I)</t>
        </is>
      </c>
      <c r="E551" t="inlineStr">
        <is>
          <t>1_Discovered</t>
        </is>
      </c>
      <c r="F551" t="inlineStr">
        <is>
          <t>fanout_batch</t>
        </is>
      </c>
      <c r="G551" t="inlineStr">
        <is>
          <t>reuse</t>
        </is>
      </c>
      <c r="H551" t="inlineStr">
        <is>
          <t>seed_plaid_data_scientist</t>
        </is>
      </c>
      <c r="I551" t="inlineStr">
        <is>
          <t>Plaid Data Scientist</t>
        </is>
      </c>
      <c r="J551"/>
      <c r="K551"/>
      <c r="L551"/>
      <c r="M551"/>
      <c r="N551"/>
      <c r="O551"/>
      <c r="P551"/>
      <c r="Q551"/>
      <c r="R551">
        <f>HYPERLINK("https://jobs.ea.com/en_US/careers/JobDetail/Senior-Analyst-American-Football-Data-and-Insights-D-I/212458?source=LinkedIn","https://jobs.ea.com/en_US/careers/JobDetail/Senior-Analyst-American-Football-Data-and-Insights-D-I/212458?source=LinkedIn")</f>
      </c>
    </row>
    <row r="552">
      <c r="A552" t="inlineStr">
        <is>
          <t>Microsoft</t>
        </is>
      </c>
      <c r="B552" t="inlineStr">
        <is>
          <t>2026-04-03 13:51:02</t>
        </is>
      </c>
      <c r="C552" t="inlineStr">
        <is>
          <t>69d00c16891d7b11cfcd7e16</t>
        </is>
      </c>
      <c r="D552" t="inlineStr">
        <is>
          <t>Senior Software Engineer (Backend)</t>
        </is>
      </c>
      <c r="E552" t="inlineStr">
        <is>
          <t>1_Discovered</t>
        </is>
      </c>
      <c r="F552" t="inlineStr">
        <is>
          <t>fanout_batch</t>
        </is>
      </c>
      <c r="G552" t="inlineStr">
        <is>
          <t>reuse</t>
        </is>
      </c>
      <c r="H552" t="inlineStr">
        <is>
          <t>seed_microsoft_coreai_platform_anchor</t>
        </is>
      </c>
      <c r="I552" t="inlineStr">
        <is>
          <t>Microsoft CoreAI/BIC Platform Anchor</t>
        </is>
      </c>
      <c r="J552"/>
      <c r="K552"/>
      <c r="L552"/>
      <c r="M552"/>
      <c r="N552"/>
      <c r="O552"/>
      <c r="P552"/>
      <c r="Q552"/>
      <c r="R552">
        <f>HYPERLINK("https://apply.careers.microsoft.com/careers/job/1970393556855623/","https://apply.careers.microsoft.com/careers/job/1970393556855623/")</f>
      </c>
    </row>
    <row r="553">
      <c r="A553" t="inlineStr">
        <is>
          <t>WEX</t>
        </is>
      </c>
      <c r="B553" t="inlineStr">
        <is>
          <t>2026-04-03 13:51:00</t>
        </is>
      </c>
      <c r="C553" t="inlineStr">
        <is>
          <t>6997ea56e0bddb6acac6cec8</t>
        </is>
      </c>
      <c r="D553" t="inlineStr">
        <is>
          <t>Senior PHP Software Engineer</t>
        </is>
      </c>
      <c r="E553" t="inlineStr">
        <is>
          <t>1_Discovered</t>
        </is>
      </c>
      <c r="F553" t="inlineStr">
        <is>
          <t>fanout_batch</t>
        </is>
      </c>
      <c r="G553" t="inlineStr">
        <is>
          <t>retarget</t>
        </is>
      </c>
      <c r="H553" t="inlineStr">
        <is>
          <t>seed_egen_fullstack_node</t>
        </is>
      </c>
      <c r="I553" t="inlineStr">
        <is>
          <t>Egen Fullstack Node</t>
        </is>
      </c>
      <c r="J553"/>
      <c r="K553"/>
      <c r="L553"/>
      <c r="M553"/>
      <c r="N553">
        <v>70.8</v>
      </c>
      <c r="O553" t="inlineStr">
        <is>
          <t>fail</t>
        </is>
      </c>
      <c r="P553">
        <f>HYPERLINK("file:///Users/jingyizhang/Documents/Playground/projects/local_job_resume_pipeline/data/deliverables/resume_portfolio/by_company/wex/2026-04-03/6997ea56e0bddb6acac6cec8/resume.md","/Users/jingyizhang/Documents/Playground/projects/local_job_resume_pipeline/data/deliverables/resume_portfolio/by_company/wex/2026-04-03/6997ea56e0bddb6acac6cec8/resume.md")</f>
      </c>
      <c r="Q553"/>
      <c r="R553">
        <f>HYPERLINK("https://careers.wexinc.com/us/en/job/WEXWEXUSR20873EXTERNALENUS/Senior-PHP-Software-Engineer?utm_source=linkedin&amp;utm_medium=phenom-feeds","https://careers.wexinc.com/us/en/job/WEXWEXUSR20873EXTERNALENUS/Senior-PHP-Software-Engineer?utm_source=linkedin&amp;utm_medium=phenom-feeds")</f>
      </c>
    </row>
    <row r="554">
      <c r="A554" t="inlineStr">
        <is>
          <t>Mastercard</t>
        </is>
      </c>
      <c r="B554" t="inlineStr">
        <is>
          <t>2026-04-03 13:35:21</t>
        </is>
      </c>
      <c r="C554" t="inlineStr">
        <is>
          <t>69b343a4ad360c0340a8691d</t>
        </is>
      </c>
      <c r="D554" t="inlineStr">
        <is>
          <t>Development Manager-Data Integration Platform</t>
        </is>
      </c>
      <c r="E554" t="inlineStr">
        <is>
          <t>1_Discovered</t>
        </is>
      </c>
      <c r="F554" t="inlineStr">
        <is>
          <t>fanout_batch</t>
        </is>
      </c>
      <c r="G554" t="inlineStr">
        <is>
          <t>retarget</t>
        </is>
      </c>
      <c r="H554" t="inlineStr">
        <is>
          <t>seed_h2o_ai_engineer</t>
        </is>
      </c>
      <c r="I554" t="inlineStr">
        <is>
          <t>H2O AI Engineer</t>
        </is>
      </c>
      <c r="J554"/>
      <c r="K554"/>
      <c r="L554"/>
      <c r="M554"/>
      <c r="N554">
        <v>96.2</v>
      </c>
      <c r="O554" t="inlineStr">
        <is>
          <t>pass</t>
        </is>
      </c>
      <c r="P554">
        <f>HYPERLINK("file:///Users/jingyizhang/Documents/Playground/projects/local_job_resume_pipeline/data/deliverables/resume_portfolio/by_company/mastercard/2026-04-03/69b343a4ad360c0340a8691d/resume.md","/Users/jingyizhang/Documents/Playground/projects/local_job_resume_pipeline/data/deliverables/resume_portfolio/by_company/mastercard/2026-04-03/69b343a4ad360c0340a8691d/resume.md")</f>
      </c>
      <c r="Q554"/>
      <c r="R554">
        <f>HYPERLINK("https://careers.mastercard.com/us/en/job/MASRUSR272213EXTERNALENUS/Development-Manager-Data-Integration-Platform?utm_source=linkedin&amp;utm_medium=phenom-feeds&amp;source=LINKEDIN","https://careers.mastercard.com/us/en/job/MASRUSR272213EXTERNALENUS/Development-Manager-Data-Integration-Platform?utm_source=linkedin&amp;utm_medium=phenom-feeds&amp;source=LINKEDIN")</f>
      </c>
    </row>
    <row r="555">
      <c r="A555" t="inlineStr">
        <is>
          <t>Burlington Stores, Inc.</t>
        </is>
      </c>
      <c r="B555" t="inlineStr">
        <is>
          <t>2026-04-03 13:34:01</t>
        </is>
      </c>
      <c r="C555" t="inlineStr">
        <is>
          <t>69c8bb0c1b5ad028873950ef</t>
        </is>
      </c>
      <c r="D555" t="inlineStr">
        <is>
          <t>Senior Data Scientist</t>
        </is>
      </c>
      <c r="E555" t="inlineStr">
        <is>
          <t>1_Discovered</t>
        </is>
      </c>
      <c r="F555" t="inlineStr">
        <is>
          <t>fanout_batch</t>
        </is>
      </c>
      <c r="G555" t="inlineStr">
        <is>
          <t>retarget</t>
        </is>
      </c>
      <c r="H555" t="inlineStr">
        <is>
          <t>seed_bytedance_ml_grad</t>
        </is>
      </c>
      <c r="I555" t="inlineStr">
        <is>
          <t>ByteDance ML Grad</t>
        </is>
      </c>
      <c r="J555"/>
      <c r="K555"/>
      <c r="L555"/>
      <c r="M555"/>
      <c r="N555">
        <v>94.4</v>
      </c>
      <c r="O555" t="inlineStr">
        <is>
          <t>pass</t>
        </is>
      </c>
      <c r="P555">
        <f>HYPERLINK("file:///Users/jingyizhang/Documents/Playground/projects/local_job_resume_pipeline/data/deliverables/resume_portfolio/by_company/burlington-stores-inc/2026-04-03/69c8bb0c1b5ad028873950ef/resume.md","/Users/jingyizhang/Documents/Playground/projects/local_job_resume_pipeline/data/deliverables/resume_portfolio/by_company/burlington-stores-inc/2026-04-03/69c8bb0c1b5ad028873950ef/resume.md")</f>
      </c>
      <c r="Q555"/>
      <c r="R555">
        <f>HYPERLINK("https://burlingtonstores.jobs/E73E80EA5F9A4B78B89DEE705E69B8EA/job/?vs=1606&amp;utm_source=LinkedIn.com-DE&amp;utm_medium=Social%20Media&amp;utm_campaign=LinkedIn.com","https://burlingtonstores.jobs/E73E80EA5F9A4B78B89DEE705E69B8EA/job/?vs=1606&amp;utm_source=LinkedIn.com-DE&amp;utm_medium=Social%20Media&amp;utm_campaign=LinkedIn.com")</f>
      </c>
    </row>
    <row r="556">
      <c r="A556" t="inlineStr">
        <is>
          <t>Capital One</t>
        </is>
      </c>
      <c r="B556" t="inlineStr">
        <is>
          <t>2026-04-03 13:25:48</t>
        </is>
      </c>
      <c r="C556" t="inlineStr">
        <is>
          <t>69d0062c0b098b7a67075a8c</t>
        </is>
      </c>
      <c r="D556" t="inlineStr">
        <is>
          <t>Manager, Data Analysis</t>
        </is>
      </c>
      <c r="E556" t="inlineStr">
        <is>
          <t>1_Discovered</t>
        </is>
      </c>
      <c r="F556" t="inlineStr">
        <is>
          <t>fanout_batch</t>
        </is>
      </c>
      <c r="G556" t="inlineStr">
        <is>
          <t>retarget</t>
        </is>
      </c>
      <c r="H556" t="inlineStr">
        <is>
          <t>seed_qualified_health_data_engineer</t>
        </is>
      </c>
      <c r="I556" t="inlineStr">
        <is>
          <t>Qualified Health Data Engineer</t>
        </is>
      </c>
      <c r="J556"/>
      <c r="K556"/>
      <c r="L556"/>
      <c r="M556"/>
      <c r="N556">
        <v>94.1</v>
      </c>
      <c r="O556" t="inlineStr">
        <is>
          <t>pass</t>
        </is>
      </c>
      <c r="P556">
        <f>HYPERLINK("file:///Users/jingyizhang/Documents/Playground/projects/local_job_resume_pipeline/data/deliverables/resume_portfolio/by_company/capital-one/2026-04-03/69d0062c0b098b7a67075a8c/resume.md","/Users/jingyizhang/Documents/Playground/projects/local_job_resume_pipeline/data/deliverables/resume_portfolio/by_company/capital-one/2026-04-03/69d0062c0b098b7a67075a8c/resume.md")</f>
      </c>
      <c r="Q556"/>
      <c r="R556">
        <f>HYPERLINK("https://www.capitalonecareers.com/job/-/-/234/93500260208?p_sid=0g7G6Nb&amp;p_uid=U38XV5OOYg&amp;source=jobright&amp;ss=paid&amp;utm_campaign=capone_all_jobs_26&amp;utm_content=pj_board&amp;utm_medium=jobad&amp;utm_source=jobright","https://www.capitalonecareers.com/job/-/-/234/93500260208?p_sid=0g7G6Nb&amp;p_uid=U38XV5OOYg&amp;source=jobright&amp;ss=paid&amp;utm_campaign=capone_all_jobs_26&amp;utm_content=pj_board&amp;utm_medium=jobad&amp;utm_source=jobright")</f>
      </c>
    </row>
    <row r="557">
      <c r="A557" t="inlineStr">
        <is>
          <t>Capital One</t>
        </is>
      </c>
      <c r="B557" t="inlineStr">
        <is>
          <t>2026-04-03 13:25:43</t>
        </is>
      </c>
      <c r="C557" t="inlineStr">
        <is>
          <t>69d00627891d7b11cfcd7cd6</t>
        </is>
      </c>
      <c r="D557" t="inlineStr">
        <is>
          <t>Applied Researcher I (AI Foundations, LLM Customization, Finetuning, Reinforcement Learning)</t>
        </is>
      </c>
      <c r="E557" t="inlineStr">
        <is>
          <t>1_Discovered</t>
        </is>
      </c>
      <c r="F557" t="inlineStr">
        <is>
          <t>fanout_batch</t>
        </is>
      </c>
      <c r="G557" t="inlineStr">
        <is>
          <t>reuse</t>
        </is>
      </c>
      <c r="H557" t="inlineStr">
        <is>
          <t>seed_bytedance_ml_grad</t>
        </is>
      </c>
      <c r="I557" t="inlineStr">
        <is>
          <t>ByteDance ML Grad</t>
        </is>
      </c>
      <c r="J557"/>
      <c r="K557"/>
      <c r="L557"/>
      <c r="M557"/>
      <c r="N557"/>
      <c r="O557"/>
      <c r="P557"/>
      <c r="Q557"/>
      <c r="R557">
        <f>HYPERLINK("https://www.capitalonecareers.com/job/-/-/234/93501459360?p_sid=oiSZzwb&amp;p_uid=B9xZdkamoN&amp;source=jobright&amp;ss=paid&amp;utm_campaign=tech_26&amp;utm_content=pj_board&amp;utm_medium=jobad&amp;utm_source=jobright","https://www.capitalonecareers.com/job/-/-/234/93501459360?p_sid=oiSZzwb&amp;p_uid=B9xZdkamoN&amp;source=jobright&amp;ss=paid&amp;utm_campaign=tech_26&amp;utm_content=pj_board&amp;utm_medium=jobad&amp;utm_source=jobright")</f>
      </c>
    </row>
    <row r="558">
      <c r="A558" t="inlineStr">
        <is>
          <t>Capital One</t>
        </is>
      </c>
      <c r="B558" t="inlineStr">
        <is>
          <t>2026-04-03 13:24:40</t>
        </is>
      </c>
      <c r="C558" t="inlineStr">
        <is>
          <t>69b40e205697383741389d3f</t>
        </is>
      </c>
      <c r="D558" t="inlineStr">
        <is>
          <t>Senior Associate, Data Scientist -  Model Risk Office</t>
        </is>
      </c>
      <c r="E558" t="inlineStr">
        <is>
          <t>1_Discovered</t>
        </is>
      </c>
      <c r="F558" t="inlineStr">
        <is>
          <t>fanout_batch</t>
        </is>
      </c>
      <c r="G558" t="inlineStr">
        <is>
          <t>retarget</t>
        </is>
      </c>
      <c r="H558" t="inlineStr">
        <is>
          <t>seed_plaid_data_scientist</t>
        </is>
      </c>
      <c r="I558" t="inlineStr">
        <is>
          <t>Plaid Data Scientist</t>
        </is>
      </c>
      <c r="J558"/>
      <c r="K558"/>
      <c r="L558"/>
      <c r="M558"/>
      <c r="N558">
        <v>94.6</v>
      </c>
      <c r="O558" t="inlineStr">
        <is>
          <t>pass</t>
        </is>
      </c>
      <c r="P558">
        <f>HYPERLINK("file:///Users/jingyizhang/Documents/Playground/projects/local_job_resume_pipeline/data/deliverables/resume_portfolio/by_company/capital-one/2026-04-03/69b40e205697383741389d3f/resume.md","/Users/jingyizhang/Documents/Playground/projects/local_job_resume_pipeline/data/deliverables/resume_portfolio/by_company/capital-one/2026-04-03/69b40e205697383741389d3f/resume.md")</f>
      </c>
      <c r="Q558"/>
      <c r="R558">
        <f>HYPERLINK("https://www.capitalonecareers.com/job/-/-/234/90384230144?p_sid=coOdqgb&amp;p_uid=ujaOs3zbyF&amp;source=jobright&amp;ss=paid&amp;utm_campaign=data_science_toh_26&amp;utm_content=pj_board&amp;utm_medium=jobad&amp;utm_source=jobright","https://www.capitalonecareers.com/job/-/-/234/90384230144?p_sid=coOdqgb&amp;p_uid=ujaOs3zbyF&amp;source=jobright&amp;ss=paid&amp;utm_campaign=data_science_toh_26&amp;utm_content=pj_board&amp;utm_medium=jobad&amp;utm_source=jobright")</f>
      </c>
    </row>
    <row r="559">
      <c r="A559" t="inlineStr">
        <is>
          <t>Environmental Science Associates</t>
        </is>
      </c>
      <c r="B559" t="inlineStr">
        <is>
          <t>2026-04-03 13:24:38</t>
        </is>
      </c>
      <c r="C559" t="inlineStr">
        <is>
          <t>69d005e6cdb525785fba69cc</t>
        </is>
      </c>
      <c r="D559" t="inlineStr">
        <is>
          <t>Software Engineer-Mid-Level</t>
        </is>
      </c>
      <c r="E559" t="inlineStr">
        <is>
          <t>1_Discovered</t>
        </is>
      </c>
      <c r="F559" t="inlineStr">
        <is>
          <t>fanout_batch</t>
        </is>
      </c>
      <c r="G559" t="inlineStr">
        <is>
          <t>retarget</t>
        </is>
      </c>
      <c r="H559" t="inlineStr">
        <is>
          <t>seed_generalist_dotnet_enterprise</t>
        </is>
      </c>
      <c r="I559" t="inlineStr">
        <is>
          <t>Generalist DotNet Enterprise</t>
        </is>
      </c>
      <c r="J559"/>
      <c r="K559"/>
      <c r="L559"/>
      <c r="M559"/>
      <c r="N559">
        <v>93.7</v>
      </c>
      <c r="O559" t="inlineStr">
        <is>
          <t>pass</t>
        </is>
      </c>
      <c r="P559">
        <f>HYPERLINK("file:///Users/jingyizhang/Documents/Playground/projects/local_job_resume_pipeline/data/deliverables/resume_portfolio/by_company/environmental-science-associates/2026-04-03/69d005e6cdb525785fba69cc/resume.md","/Users/jingyizhang/Documents/Playground/projects/local_job_resume_pipeline/data/deliverables/resume_portfolio/by_company/environmental-science-associates/2026-04-03/69d005e6cdb525785fba69cc/resume.md")</f>
      </c>
      <c r="Q559"/>
      <c r="R559">
        <f>HYPERLINK("https://boards.greenhouse.io/embed/job_app?token=5107843008&amp;utm_source=jobright","https://boards.greenhouse.io/embed/job_app?token=5107843008&amp;utm_source=jobright")</f>
      </c>
    </row>
    <row r="560">
      <c r="A560" t="inlineStr">
        <is>
          <t>Mastercard</t>
        </is>
      </c>
      <c r="B560" t="inlineStr">
        <is>
          <t>2026-04-03 13:24:16</t>
        </is>
      </c>
      <c r="C560" t="inlineStr">
        <is>
          <t>69b33d55ae2a534885eaa7d5</t>
        </is>
      </c>
      <c r="D560" t="inlineStr">
        <is>
          <t>Senior Software Engineer</t>
        </is>
      </c>
      <c r="E560" t="inlineStr">
        <is>
          <t>1_Discovered</t>
        </is>
      </c>
      <c r="F560" t="inlineStr">
        <is>
          <t>fanout_batch</t>
        </is>
      </c>
      <c r="G560" t="inlineStr">
        <is>
          <t>reuse</t>
        </is>
      </c>
      <c r="H560" t="inlineStr">
        <is>
          <t>seed_codex_amazon_sde</t>
        </is>
      </c>
      <c r="I560" t="inlineStr">
        <is>
          <t>Amazon SDE</t>
        </is>
      </c>
      <c r="J560" t="inlineStr">
        <is>
          <t>amazon_platform_mainline</t>
        </is>
      </c>
      <c r="K560" t="inlineStr">
        <is>
          <t>mainline</t>
        </is>
      </c>
      <c r="L560"/>
      <c r="M560"/>
      <c r="N560"/>
      <c r="O560"/>
      <c r="P560"/>
      <c r="Q560"/>
      <c r="R560">
        <f>HYPERLINK("https://careers.mastercard.com/us/en/job/MASRUSR272689EXTERNALENUS/Senior-Software-Engineer?utm_source=linkedin&amp;utm_medium=phenom-feeds&amp;source=LINKEDIN","https://careers.mastercard.com/us/en/job/MASRUSR272689EXTERNALENUS/Senior-Software-Engineer?utm_source=linkedin&amp;utm_medium=phenom-feeds&amp;source=LINKEDIN")</f>
      </c>
    </row>
    <row r="561">
      <c r="A561" t="inlineStr">
        <is>
          <t>Capital One</t>
        </is>
      </c>
      <c r="B561" t="inlineStr">
        <is>
          <t>2026-04-03 13:24:04</t>
        </is>
      </c>
      <c r="C561" t="inlineStr">
        <is>
          <t>69790c5139f7f96cc6d167f8</t>
        </is>
      </c>
      <c r="D561" t="inlineStr">
        <is>
          <t>Applied Researcher I (Multi-agent Systems, Knowledge Graphs/GraphRAG/Graph-of-Thought / GoT, MCP, LangGraph, Agent Protocols)</t>
        </is>
      </c>
      <c r="E561" t="inlineStr">
        <is>
          <t>1_Discovered</t>
        </is>
      </c>
      <c r="F561" t="inlineStr">
        <is>
          <t>fanout_batch</t>
        </is>
      </c>
      <c r="G561" t="inlineStr">
        <is>
          <t>reuse</t>
        </is>
      </c>
      <c r="H561" t="inlineStr">
        <is>
          <t>seed_bytedance_ml_grad</t>
        </is>
      </c>
      <c r="I561" t="inlineStr">
        <is>
          <t>ByteDance ML Grad</t>
        </is>
      </c>
      <c r="J561"/>
      <c r="K561"/>
      <c r="L561"/>
      <c r="M561"/>
      <c r="N561"/>
      <c r="O561"/>
      <c r="P561"/>
      <c r="Q561"/>
      <c r="R561">
        <f>HYPERLINK("https://dsp.prng.co/ejCVf-b","https://dsp.prng.co/ejCVf-b")</f>
      </c>
    </row>
    <row r="562">
      <c r="A562" t="inlineStr">
        <is>
          <t>Brain Corp</t>
        </is>
      </c>
      <c r="B562" t="inlineStr">
        <is>
          <t>2026-04-03 13:22:44</t>
        </is>
      </c>
      <c r="C562" t="inlineStr">
        <is>
          <t>69d00574cfdc6132f9437911</t>
        </is>
      </c>
      <c r="D562" t="inlineStr">
        <is>
          <t>Software Engineer I, Pilots</t>
        </is>
      </c>
      <c r="E562" t="inlineStr">
        <is>
          <t>1_Discovered</t>
        </is>
      </c>
      <c r="F562" t="inlineStr">
        <is>
          <t>fanout_batch</t>
        </is>
      </c>
      <c r="G562" t="inlineStr">
        <is>
          <t>retarget</t>
        </is>
      </c>
      <c r="H562" t="inlineStr">
        <is>
          <t>seed_aws_generalist_embedded</t>
        </is>
      </c>
      <c r="I562" t="inlineStr">
        <is>
          <t>AWS Generalist Embedded</t>
        </is>
      </c>
      <c r="J562"/>
      <c r="K562"/>
      <c r="L562"/>
      <c r="M562"/>
      <c r="N562">
        <v>93.8</v>
      </c>
      <c r="O562" t="inlineStr">
        <is>
          <t>pass</t>
        </is>
      </c>
      <c r="P562">
        <f>HYPERLINK("file:///Users/jingyizhang/Documents/Playground/projects/local_job_resume_pipeline/data/deliverables/resume_portfolio/by_company/brain-corp/2026-04-03/69d00574cfdc6132f9437911/resume.md","/Users/jingyizhang/Documents/Playground/projects/local_job_resume_pipeline/data/deliverables/resume_portfolio/by_company/brain-corp/2026-04-03/69d00574cfdc6132f9437911/resume.md")</f>
      </c>
      <c r="Q562"/>
      <c r="R562">
        <f>HYPERLINK("https://boards.greenhouse.io/embed/job_app?token=8490301002&amp;utm_source=jobright","https://boards.greenhouse.io/embed/job_app?token=8490301002&amp;utm_source=jobright")</f>
      </c>
    </row>
    <row r="563">
      <c r="A563" t="inlineStr">
        <is>
          <t>Tatari</t>
        </is>
      </c>
      <c r="B563" t="inlineStr">
        <is>
          <t>2026-04-03 13:21:30</t>
        </is>
      </c>
      <c r="C563" t="inlineStr">
        <is>
          <t>6994c24f81476f6176ac8c64</t>
        </is>
      </c>
      <c r="D563" t="inlineStr">
        <is>
          <t>Data Science Analyst</t>
        </is>
      </c>
      <c r="E563" t="inlineStr">
        <is>
          <t>1_Discovered</t>
        </is>
      </c>
      <c r="F563" t="inlineStr">
        <is>
          <t>fanout_batch</t>
        </is>
      </c>
      <c r="G563" t="inlineStr">
        <is>
          <t>reuse</t>
        </is>
      </c>
      <c r="H563" t="inlineStr">
        <is>
          <t>seed_plaid_data_scientist</t>
        </is>
      </c>
      <c r="I563" t="inlineStr">
        <is>
          <t>Plaid Data Scientist</t>
        </is>
      </c>
      <c r="J563"/>
      <c r="K563"/>
      <c r="L563"/>
      <c r="M563"/>
      <c r="N563"/>
      <c r="O563"/>
      <c r="P563"/>
      <c r="Q563"/>
      <c r="R563">
        <f>HYPERLINK("https://boards.greenhouse.io/embed/job_app?token=8350484002&amp;utm_source=jobright","https://boards.greenhouse.io/embed/job_app?token=8350484002&amp;utm_source=jobright")</f>
      </c>
    </row>
    <row r="564">
      <c r="A564" t="inlineStr">
        <is>
          <t>Cargill</t>
        </is>
      </c>
      <c r="B564" t="inlineStr">
        <is>
          <t>2026-04-03 13:19:41</t>
        </is>
      </c>
      <c r="C564" t="inlineStr">
        <is>
          <t>69d004bdcdb525785fba6998</t>
        </is>
      </c>
      <c r="D564" t="inlineStr">
        <is>
          <t>Senior AI/Data Scientist (MSP)</t>
        </is>
      </c>
      <c r="E564" t="inlineStr">
        <is>
          <t>1_Discovered</t>
        </is>
      </c>
      <c r="F564" t="inlineStr">
        <is>
          <t>fanout_batch</t>
        </is>
      </c>
      <c r="G564" t="inlineStr">
        <is>
          <t>retarget</t>
        </is>
      </c>
      <c r="H564" t="inlineStr">
        <is>
          <t>seed_bytedance_ml_grad</t>
        </is>
      </c>
      <c r="I564" t="inlineStr">
        <is>
          <t>ByteDance ML Grad</t>
        </is>
      </c>
      <c r="J564"/>
      <c r="K564"/>
      <c r="L564"/>
      <c r="M564"/>
      <c r="N564">
        <v>93.2</v>
      </c>
      <c r="O564" t="inlineStr">
        <is>
          <t>pass</t>
        </is>
      </c>
      <c r="P564">
        <f>HYPERLINK("file:///Users/jingyizhang/Documents/Playground/projects/local_job_resume_pipeline/data/deliverables/resume_portfolio/by_company/cargill/2026-04-03/69d004bdcdb525785fba6998/resume.md","/Users/jingyizhang/Documents/Playground/projects/local_job_resume_pipeline/data/deliverables/resume_portfolio/by_company/cargill/2026-04-03/69d004bdcdb525785fba6998/resume.md")</f>
      </c>
      <c r="Q564"/>
      <c r="R564">
        <f>HYPERLINK("https://careers.cargill.com/en/job/-/-/23251/93513776160","https://careers.cargill.com/en/job/-/-/23251/93513776160")</f>
      </c>
    </row>
    <row r="565">
      <c r="A565" t="inlineStr">
        <is>
          <t>Capital One</t>
        </is>
      </c>
      <c r="B565" t="inlineStr">
        <is>
          <t>2026-04-03 13:12:20</t>
        </is>
      </c>
      <c r="C565" t="inlineStr">
        <is>
          <t>697bc02b1423772304ebec89</t>
        </is>
      </c>
      <c r="D565" t="inlineStr">
        <is>
          <t>Senior Associate, Data Scientist - Risk Management Product</t>
        </is>
      </c>
      <c r="E565" t="inlineStr">
        <is>
          <t>1_Discovered</t>
        </is>
      </c>
      <c r="F565" t="inlineStr">
        <is>
          <t>fanout_batch</t>
        </is>
      </c>
      <c r="G565" t="inlineStr">
        <is>
          <t>retarget</t>
        </is>
      </c>
      <c r="H565" t="inlineStr">
        <is>
          <t>seed_plaid_data_scientist</t>
        </is>
      </c>
      <c r="I565" t="inlineStr">
        <is>
          <t>Plaid Data Scientist</t>
        </is>
      </c>
      <c r="J565"/>
      <c r="K565"/>
      <c r="L565"/>
      <c r="M565"/>
      <c r="N565">
        <v>94.7</v>
      </c>
      <c r="O565" t="inlineStr">
        <is>
          <t>pass</t>
        </is>
      </c>
      <c r="P565">
        <f>HYPERLINK("file:///Users/jingyizhang/Documents/Playground/projects/local_job_resume_pipeline/data/deliverables/resume_portfolio/by_company/capital-one/2026-04-03/697bc02b1423772304ebec89/resume.md","/Users/jingyizhang/Documents/Playground/projects/local_job_resume_pipeline/data/deliverables/resume_portfolio/by_company/capital-one/2026-04-03/697bc02b1423772304ebec89/resume.md")</f>
      </c>
      <c r="Q565"/>
      <c r="R565">
        <f>HYPERLINK("https://www.capitalonecareers.com/job/-/-/234/91125016528?p_sid=r7Vcp_b&amp;p_uid=L1mmIuqIsF&amp;source=jobright&amp;ss=paid&amp;utm_campaign=data_science_toh_26&amp;utm_content=pj_board&amp;utm_medium=jobad&amp;utm_source=jobright","https://www.capitalonecareers.com/job/-/-/234/91125016528?p_sid=r7Vcp_b&amp;p_uid=L1mmIuqIsF&amp;source=jobright&amp;ss=paid&amp;utm_campaign=data_science_toh_26&amp;utm_content=pj_board&amp;utm_medium=jobad&amp;utm_source=jobright")</f>
      </c>
    </row>
    <row r="566">
      <c r="A566" t="inlineStr">
        <is>
          <t>Citi</t>
        </is>
      </c>
      <c r="B566" t="inlineStr">
        <is>
          <t>2026-04-03 13:12:11</t>
        </is>
      </c>
      <c r="C566" t="inlineStr">
        <is>
          <t>69b3356fad360c0340a85b5f</t>
        </is>
      </c>
      <c r="D566" t="inlineStr">
        <is>
          <t>Digital S/W Eng Sr Analyst  - Assistant Vice President</t>
        </is>
      </c>
      <c r="E566" t="inlineStr">
        <is>
          <t>1_Discovered</t>
        </is>
      </c>
      <c r="F566" t="inlineStr">
        <is>
          <t>fanout_batch</t>
        </is>
      </c>
      <c r="G566" t="inlineStr">
        <is>
          <t>retarget</t>
        </is>
      </c>
      <c r="H566" t="inlineStr">
        <is>
          <t>seed_cisco_backend_api</t>
        </is>
      </c>
      <c r="I566" t="inlineStr">
        <is>
          <t>Cisco Backend API</t>
        </is>
      </c>
      <c r="J566"/>
      <c r="K566"/>
      <c r="L566"/>
      <c r="M566"/>
      <c r="N566">
        <v>96.0</v>
      </c>
      <c r="O566" t="inlineStr">
        <is>
          <t>pass</t>
        </is>
      </c>
      <c r="P566">
        <f>HYPERLINK("file:///Users/jingyizhang/Documents/Playground/projects/local_job_resume_pipeline/data/deliverables/resume_portfolio/by_company/citi/2026-04-03/69b3356fad360c0340a85b5f/resume.md","/Users/jingyizhang/Documents/Playground/projects/local_job_resume_pipeline/data/deliverables/resume_portfolio/by_company/citi/2026-04-03/69b3356fad360c0340a85b5f/resume.md")</f>
      </c>
      <c r="Q566"/>
      <c r="R566">
        <f>HYPERLINK("https://jobs.citi.com/job/-/-/287/92680428224?source=APPLICANT_SOURCE-3-354&amp;utm_medium=job_posting&amp;utm_campaign=nam_experienced&amp;utm_content=social_media&amp;utm_term=393702677&amp;ss=paid&amp;utm_source=jobright","https://jobs.citi.com/job/-/-/287/92680428224?source=APPLICANT_SOURCE-3-354&amp;utm_medium=job_posting&amp;utm_campaign=nam_experienced&amp;utm_content=social_media&amp;utm_term=393702677&amp;ss=paid&amp;utm_source=jobright")</f>
      </c>
    </row>
    <row r="567">
      <c r="A567" t="inlineStr">
        <is>
          <t>JPMorganChase</t>
        </is>
      </c>
      <c r="B567" t="inlineStr">
        <is>
          <t>2026-04-03 13:06:47</t>
        </is>
      </c>
      <c r="C567" t="inlineStr">
        <is>
          <t>69d001b7366bb95ba551a7ef</t>
        </is>
      </c>
      <c r="D567" t="inlineStr">
        <is>
          <t>Software Engineer II - Splunk/CRIBL</t>
        </is>
      </c>
      <c r="E567" t="inlineStr">
        <is>
          <t>1_Discovered</t>
        </is>
      </c>
      <c r="F567" t="inlineStr">
        <is>
          <t>fanout_batch</t>
        </is>
      </c>
      <c r="G567" t="inlineStr">
        <is>
          <t>reuse</t>
        </is>
      </c>
      <c r="H567" t="inlineStr">
        <is>
          <t>seed_jpmc_data_mlops_anchor</t>
        </is>
      </c>
      <c r="I567" t="inlineStr">
        <is>
          <t>JPMorganChase Data Platform/MLOps Anchor</t>
        </is>
      </c>
      <c r="J567" t="inlineStr">
        <is>
          <t>jpmc_data_mlops_mainline</t>
        </is>
      </c>
      <c r="K567" t="inlineStr">
        <is>
          <t>mainline</t>
        </is>
      </c>
      <c r="L567"/>
      <c r="M567"/>
      <c r="N567"/>
      <c r="O567"/>
      <c r="P567"/>
      <c r="Q567"/>
      <c r="R567">
        <f>HYPERLINK("https://jpmc.fa.oraclecloud.com/hcmUI/CandidateExperience/en/sites/CX_1001/job/210727312","https://jpmc.fa.oraclecloud.com/hcmUI/CandidateExperience/en/sites/CX_1001/job/210727312")</f>
      </c>
    </row>
    <row r="568">
      <c r="A568" t="inlineStr">
        <is>
          <t>JPMorganChase</t>
        </is>
      </c>
      <c r="B568" t="inlineStr">
        <is>
          <t>2026-04-03 13:06:45</t>
        </is>
      </c>
      <c r="C568" t="inlineStr">
        <is>
          <t>69d001b5366bb95ba551a7dc</t>
        </is>
      </c>
      <c r="D568" t="inlineStr">
        <is>
          <t>2026 Asset Wealth Management Machine Learning Engineer - Summer Associate</t>
        </is>
      </c>
      <c r="E568" t="inlineStr">
        <is>
          <t>1_Discovered</t>
        </is>
      </c>
      <c r="F568" t="inlineStr">
        <is>
          <t>fanout_batch</t>
        </is>
      </c>
      <c r="G568" t="inlineStr">
        <is>
          <t>reuse</t>
        </is>
      </c>
      <c r="H568" t="inlineStr">
        <is>
          <t>seed_bytedance_ml_grad</t>
        </is>
      </c>
      <c r="I568" t="inlineStr">
        <is>
          <t>ByteDance ML Grad</t>
        </is>
      </c>
      <c r="J568"/>
      <c r="K568"/>
      <c r="L568"/>
      <c r="M568"/>
      <c r="N568"/>
      <c r="O568"/>
      <c r="P568"/>
      <c r="Q568"/>
      <c r="R568">
        <f>HYPERLINK("https://jpmc.fa.oraclecloud.com/hcmUI/CandidateExperience/en/sites/CX_1001/job/210690773","https://jpmc.fa.oraclecloud.com/hcmUI/CandidateExperience/en/sites/CX_1001/job/210690773")</f>
      </c>
    </row>
    <row r="569">
      <c r="A569" t="inlineStr">
        <is>
          <t>Citi</t>
        </is>
      </c>
      <c r="B569" t="inlineStr">
        <is>
          <t>2026-04-03 13:06:29</t>
        </is>
      </c>
      <c r="C569" t="inlineStr">
        <is>
          <t>69d001a5366bb95ba551a791</t>
        </is>
      </c>
      <c r="D569" t="inlineStr">
        <is>
          <t>Java &amp; Python Senior Developer - AVP - NJ/NY</t>
        </is>
      </c>
      <c r="E569" t="inlineStr">
        <is>
          <t>1_Discovered</t>
        </is>
      </c>
      <c r="F569" t="inlineStr">
        <is>
          <t>fanout_batch</t>
        </is>
      </c>
      <c r="G569" t="inlineStr">
        <is>
          <t>reuse</t>
        </is>
      </c>
      <c r="H569" t="inlineStr">
        <is>
          <t>seed_paypal_java_backend</t>
        </is>
      </c>
      <c r="I569" t="inlineStr">
        <is>
          <t>PayPal Java Backend</t>
        </is>
      </c>
      <c r="J569"/>
      <c r="K569"/>
      <c r="L569"/>
      <c r="M569"/>
      <c r="N569"/>
      <c r="O569"/>
      <c r="P569"/>
      <c r="Q569"/>
      <c r="R569">
        <f>HYPERLINK("https://citi.wd5.myworkdayjobs.com/2/job/Rutherford-New-Jersey-United-States/Java---Python-Senior-Developer---AVP---RUTHERFORD_26950849","https://citi.wd5.myworkdayjobs.com/2/job/Rutherford-New-Jersey-United-States/Java---Python-Senior-Developer---AVP---RUTHERFORD_26950849")</f>
      </c>
    </row>
    <row r="570">
      <c r="A570" t="inlineStr">
        <is>
          <t>Lennar</t>
        </is>
      </c>
      <c r="B570" t="inlineStr">
        <is>
          <t>2026-04-03 13:06:19</t>
        </is>
      </c>
      <c r="C570" t="inlineStr">
        <is>
          <t>69d0019b891d7b11cfcd7acd</t>
        </is>
      </c>
      <c r="D570" t="inlineStr">
        <is>
          <t>Data Analyst II</t>
        </is>
      </c>
      <c r="E570" t="inlineStr">
        <is>
          <t>1_Discovered</t>
        </is>
      </c>
      <c r="F570" t="inlineStr">
        <is>
          <t>fanout_batch</t>
        </is>
      </c>
      <c r="G570" t="inlineStr">
        <is>
          <t>retarget</t>
        </is>
      </c>
      <c r="H570" t="inlineStr">
        <is>
          <t>seed_qualified_health_data_engineer</t>
        </is>
      </c>
      <c r="I570" t="inlineStr">
        <is>
          <t>Qualified Health Data Engineer</t>
        </is>
      </c>
      <c r="J570"/>
      <c r="K570"/>
      <c r="L570"/>
      <c r="M570"/>
      <c r="N570">
        <v>95.0</v>
      </c>
      <c r="O570" t="inlineStr">
        <is>
          <t>pass</t>
        </is>
      </c>
      <c r="P570">
        <f>HYPERLINK("file:///Users/jingyizhang/Documents/Playground/projects/local_job_resume_pipeline/data/deliverables/resume_portfolio/by_company/lennar/2026-04-03/69d0019b891d7b11cfcd7acd/resume.md","/Users/jingyizhang/Documents/Playground/projects/local_job_resume_pipeline/data/deliverables/resume_portfolio/by_company/lennar/2026-04-03/69d0019b891d7b11cfcd7acd/resume.md")</f>
      </c>
      <c r="Q570"/>
      <c r="R570">
        <f>HYPERLINK("https://lennar.wd1.myworkdayjobs.com/lennar_jobs/job/Irving-TX-Job-Posting-Location/Data-Analyst-II_R26_0000001180","https://lennar.wd1.myworkdayjobs.com/lennar_jobs/job/Irving-TX-Job-Posting-Location/Data-Analyst-II_R26_0000001180")</f>
      </c>
    </row>
    <row r="571">
      <c r="A571" t="inlineStr">
        <is>
          <t>JPMorganChase</t>
        </is>
      </c>
      <c r="B571" t="inlineStr">
        <is>
          <t>2026-04-03 13:06:18</t>
        </is>
      </c>
      <c r="C571" t="inlineStr">
        <is>
          <t>69d0019acdb525785fba682a</t>
        </is>
      </c>
      <c r="D571" t="inlineStr">
        <is>
          <t>Digital Analytics &amp; Insights-Senior Associate</t>
        </is>
      </c>
      <c r="E571" t="inlineStr">
        <is>
          <t>1_Discovered</t>
        </is>
      </c>
      <c r="F571" t="inlineStr">
        <is>
          <t>retarget_trial</t>
        </is>
      </c>
      <c r="G571" t="inlineStr">
        <is>
          <t>retarget</t>
        </is>
      </c>
      <c r="H571" t="inlineStr">
        <is>
          <t>seed_jpmc_data_mlops_anchor</t>
        </is>
      </c>
      <c r="I571" t="inlineStr">
        <is>
          <t>JPMorganChase Data Platform/MLOps Anchor</t>
        </is>
      </c>
      <c r="J571" t="inlineStr">
        <is>
          <t>jpmc_data_mlops_mainline</t>
        </is>
      </c>
      <c r="K571" t="inlineStr">
        <is>
          <t>mainline</t>
        </is>
      </c>
      <c r="L571"/>
      <c r="M571"/>
      <c r="N571">
        <v>97.6</v>
      </c>
      <c r="O571" t="inlineStr">
        <is>
          <t>pass</t>
        </is>
      </c>
      <c r="P571">
        <f>HYPERLINK("file:///Users/jingyizhang/Documents/Playground/projects/local_job_resume_pipeline/data/deliverables/resume_portfolio/by_company/jpmorganchase/2026-04-03/69d0019acdb525785fba682a/resume.md","/Users/jingyizhang/Documents/Playground/projects/local_job_resume_pipeline/data/deliverables/resume_portfolio/by_company/jpmorganchase/2026-04-03/69d0019acdb525785fba682a/resume.md")</f>
      </c>
      <c r="Q571"/>
      <c r="R571">
        <f>HYPERLINK("https://jpmc.fa.oraclecloud.com/hcmUI/CandidateExperience/en/sites/CX_1001/job/210714757","https://jpmc.fa.oraclecloud.com/hcmUI/CandidateExperience/en/sites/CX_1001/job/210714757")</f>
      </c>
    </row>
    <row r="572">
      <c r="A572" t="inlineStr">
        <is>
          <t>Gordon Food Service</t>
        </is>
      </c>
      <c r="B572" t="inlineStr">
        <is>
          <t>2026-04-03 13:06:10</t>
        </is>
      </c>
      <c r="C572" t="inlineStr">
        <is>
          <t>69d00192cdb525785fba6807</t>
        </is>
      </c>
      <c r="D572" t="inlineStr">
        <is>
          <t>CI/CD DevOps Engineer</t>
        </is>
      </c>
      <c r="E572" t="inlineStr">
        <is>
          <t>1_Discovered</t>
        </is>
      </c>
      <c r="F572" t="inlineStr">
        <is>
          <t>seed_source</t>
        </is>
      </c>
      <c r="G572" t="inlineStr">
        <is>
          <t>seed_source</t>
        </is>
      </c>
      <c r="H572" t="inlineStr">
        <is>
          <t>seed_platform_ai_automation</t>
        </is>
      </c>
      <c r="I572" t="inlineStr">
        <is>
          <t>Platform AI Automation</t>
        </is>
      </c>
      <c r="J572"/>
      <c r="K572"/>
      <c r="L572"/>
      <c r="M572"/>
      <c r="N572">
        <v>95.5</v>
      </c>
      <c r="O572" t="inlineStr">
        <is>
          <t>pass</t>
        </is>
      </c>
      <c r="P572">
        <f>HYPERLINK("file:///Users/jingyizhang/Documents/Playground/projects/local_job_resume_pipeline/data/deliverables/resume_portfolio/by_company/gordon-food-service/2026-04-03/69d00192cdb525785fba6807/resume.md","/Users/jingyizhang/Documents/Playground/projects/local_job_resume_pipeline/data/deliverables/resume_portfolio/by_company/gordon-food-service/2026-04-03/69d00192cdb525785fba6807/resume.md")</f>
      </c>
      <c r="Q572"/>
      <c r="R572">
        <f>HYPERLINK("https://gfs.wd5.myworkdayjobs.com/usjobs-gen-gfs/job/Wyoming-Michigan/CI-CD-DevOps-Engineer_R-49694","https://gfs.wd5.myworkdayjobs.com/usjobs-gen-gfs/job/Wyoming-Michigan/CI-CD-DevOps-Engineer_R-49694")</f>
      </c>
    </row>
    <row r="573">
      <c r="A573" t="inlineStr">
        <is>
          <t>Centific</t>
        </is>
      </c>
      <c r="B573" t="inlineStr">
        <is>
          <t>2026-04-03 13:05:56</t>
        </is>
      </c>
      <c r="C573" t="inlineStr">
        <is>
          <t>69d00184cdb525785fba67c8</t>
        </is>
      </c>
      <c r="D573" t="inlineStr">
        <is>
          <t>Software Testing Engineer</t>
        </is>
      </c>
      <c r="E573" t="inlineStr">
        <is>
          <t>1_Discovered</t>
        </is>
      </c>
      <c r="F573" t="inlineStr">
        <is>
          <t>seed_validation</t>
        </is>
      </c>
      <c r="G573" t="inlineStr">
        <is>
          <t>reuse</t>
        </is>
      </c>
      <c r="H573" t="inlineStr">
        <is>
          <t>seed_magnite_sdet</t>
        </is>
      </c>
      <c r="I573" t="inlineStr">
        <is>
          <t>Magnite SDET</t>
        </is>
      </c>
      <c r="J573"/>
      <c r="K573"/>
      <c r="L573"/>
      <c r="M573"/>
      <c r="N573"/>
      <c r="O573"/>
      <c r="P573"/>
      <c r="Q573"/>
      <c r="R573">
        <f>HYPERLINK("https://centific.wd1.myworkdayjobs.com/centific_global/job/Redmond-Washington/Software-Testing-Engineer_JR106916-1","https://centific.wd1.myworkdayjobs.com/centific_global/job/Redmond-Washington/Software-Testing-Engineer_JR106916-1")</f>
      </c>
    </row>
    <row r="574">
      <c r="A574" t="inlineStr">
        <is>
          <t>Nash</t>
        </is>
      </c>
      <c r="B574" t="inlineStr">
        <is>
          <t>2026-04-03 13:05:45</t>
        </is>
      </c>
      <c r="C574" t="inlineStr">
        <is>
          <t>696c82c65fc86241853ba6ea</t>
        </is>
      </c>
      <c r="D574" t="inlineStr">
        <is>
          <t>Senior Backend Engineer</t>
        </is>
      </c>
      <c r="E574" t="inlineStr">
        <is>
          <t>1_Discovered</t>
        </is>
      </c>
      <c r="F574" t="inlineStr">
        <is>
          <t>fanout_batch</t>
        </is>
      </c>
      <c r="G574" t="inlineStr">
        <is>
          <t>reuse</t>
        </is>
      </c>
      <c r="H574" t="inlineStr">
        <is>
          <t>seed_egen_fullstack_node</t>
        </is>
      </c>
      <c r="I574" t="inlineStr">
        <is>
          <t>Egen Fullstack Node</t>
        </is>
      </c>
      <c r="J574"/>
      <c r="K574"/>
      <c r="L574"/>
      <c r="M574"/>
      <c r="N574"/>
      <c r="O574"/>
      <c r="P574"/>
      <c r="Q574"/>
      <c r="R574">
        <f>HYPERLINK("https://jobs.ashbyhq.com/Nash/5078366e-db73-45a4-b9cb-23162d3bc28b","https://jobs.ashbyhq.com/Nash/5078366e-db73-45a4-b9cb-23162d3bc28b")</f>
      </c>
    </row>
    <row r="575">
      <c r="A575" t="inlineStr">
        <is>
          <t>Wakefern Food Corp.</t>
        </is>
      </c>
      <c r="B575" t="inlineStr">
        <is>
          <t>2026-04-03 12:55:36</t>
        </is>
      </c>
      <c r="C575" t="inlineStr">
        <is>
          <t>69bdadd34828227293ffeec8</t>
        </is>
      </c>
      <c r="D575" t="inlineStr">
        <is>
          <t>Software Engineer</t>
        </is>
      </c>
      <c r="E575" t="inlineStr">
        <is>
          <t>1_Discovered</t>
        </is>
      </c>
      <c r="F575" t="inlineStr">
        <is>
          <t>fanout_batch</t>
        </is>
      </c>
      <c r="G575" t="inlineStr">
        <is>
          <t>retarget</t>
        </is>
      </c>
      <c r="H575" t="inlineStr">
        <is>
          <t>seed_cisco_backend_api</t>
        </is>
      </c>
      <c r="I575" t="inlineStr">
        <is>
          <t>Cisco Backend API</t>
        </is>
      </c>
      <c r="J575"/>
      <c r="K575"/>
      <c r="L575"/>
      <c r="M575"/>
      <c r="N575">
        <v>86.1</v>
      </c>
      <c r="O575" t="inlineStr">
        <is>
          <t>fail</t>
        </is>
      </c>
      <c r="P575">
        <f>HYPERLINK("file:///Users/jingyizhang/Documents/Playground/projects/local_job_resume_pipeline/data/deliverables/resume_portfolio/by_company/wakefern-food-corp/2026-04-03/69bdadd34828227293ffeec8/resume.md","/Users/jingyizhang/Documents/Playground/projects/local_job_resume_pipeline/data/deliverables/resume_portfolio/by_company/wakefern-food-corp/2026-04-03/69bdadd34828227293ffeec8/resume.md")</f>
      </c>
      <c r="Q575"/>
      <c r="R575">
        <f>HYPERLINK("https://www.linkedin.com/jobs/view/4385769035","https://www.linkedin.com/jobs/view/4385769035")</f>
      </c>
    </row>
    <row r="576">
      <c r="A576" t="inlineStr">
        <is>
          <t>NPR</t>
        </is>
      </c>
      <c r="B576" t="inlineStr">
        <is>
          <t>2026-04-03 12:55:00</t>
        </is>
      </c>
      <c r="C576" t="inlineStr">
        <is>
          <t>69978d1581476f6176afa31e</t>
        </is>
      </c>
      <c r="D576" t="inlineStr">
        <is>
          <t>Java Software Engineer, Distribution</t>
        </is>
      </c>
      <c r="E576" t="inlineStr">
        <is>
          <t>1_Discovered</t>
        </is>
      </c>
      <c r="F576" t="inlineStr">
        <is>
          <t>fanout_batch</t>
        </is>
      </c>
      <c r="G576" t="inlineStr">
        <is>
          <t>retarget</t>
        </is>
      </c>
      <c r="H576" t="inlineStr">
        <is>
          <t>seed_aws_support_backend_anchor</t>
        </is>
      </c>
      <c r="I576" t="inlineStr">
        <is>
          <t>AWS Support Backend Anchor</t>
        </is>
      </c>
      <c r="J576"/>
      <c r="K576"/>
      <c r="L576"/>
      <c r="M576"/>
      <c r="N576">
        <v>95.0</v>
      </c>
      <c r="O576" t="inlineStr">
        <is>
          <t>pass</t>
        </is>
      </c>
      <c r="P576">
        <f>HYPERLINK("file:///Users/jingyizhang/Documents/Playground/projects/local_job_resume_pipeline/data/deliverables/resume_portfolio/by_company/npr/2026-04-03/69978d1581476f6176afa31e/resume.md","/Users/jingyizhang/Documents/Playground/projects/local_job_resume_pipeline/data/deliverables/resume_portfolio/by_company/npr/2026-04-03/69978d1581476f6176afa31e/resume.md")</f>
      </c>
      <c r="Q576"/>
      <c r="R576">
        <f>HYPERLINK("https://boards.greenhouse.io/embed/job_app?token=4662521005&amp;utm_source=jobright","https://boards.greenhouse.io/embed/job_app?token=4662521005&amp;utm_source=jobright")</f>
      </c>
    </row>
    <row r="577">
      <c r="A577" t="inlineStr">
        <is>
          <t>Experian</t>
        </is>
      </c>
      <c r="B577" t="inlineStr">
        <is>
          <t>2026-04-03 12:50:43</t>
        </is>
      </c>
      <c r="C577" t="inlineStr">
        <is>
          <t>69cffdf30b098b7a6707584a</t>
        </is>
      </c>
      <c r="D577" t="inlineStr">
        <is>
          <t>Data Engineer - Healthcare (Remote)</t>
        </is>
      </c>
      <c r="E577" t="inlineStr">
        <is>
          <t>1_Discovered</t>
        </is>
      </c>
      <c r="F577" t="inlineStr">
        <is>
          <t>fanout_batch</t>
        </is>
      </c>
      <c r="G577" t="inlineStr">
        <is>
          <t>reuse</t>
        </is>
      </c>
      <c r="H577" t="inlineStr">
        <is>
          <t>seed_qualified_health_data_engineer</t>
        </is>
      </c>
      <c r="I577" t="inlineStr">
        <is>
          <t>Qualified Health Data Engineer</t>
        </is>
      </c>
      <c r="J577"/>
      <c r="K577"/>
      <c r="L577"/>
      <c r="M577"/>
      <c r="N577"/>
      <c r="O577"/>
      <c r="P577"/>
      <c r="Q577"/>
      <c r="R577">
        <f>HYPERLINK("https://jobs.smartrecruiters.com/Experian/744000118624497-data-engineer-healthcare-remote-","https://jobs.smartrecruiters.com/Experian/744000118624497-data-engineer-healthcare-remote-")</f>
      </c>
    </row>
    <row r="578">
      <c r="A578" t="inlineStr">
        <is>
          <t>IDEXX Livestock Diagnostics</t>
        </is>
      </c>
      <c r="B578" t="inlineStr">
        <is>
          <t>2026-04-03 12:49:17</t>
        </is>
      </c>
      <c r="C578" t="inlineStr">
        <is>
          <t>69cffd9dcfdc6132f943764b</t>
        </is>
      </c>
      <c r="D578" t="inlineStr">
        <is>
          <t>Computer Vision Data Scientist</t>
        </is>
      </c>
      <c r="E578" t="inlineStr">
        <is>
          <t>1_Discovered</t>
        </is>
      </c>
      <c r="F578" t="inlineStr">
        <is>
          <t>fanout_batch</t>
        </is>
      </c>
      <c r="G578" t="inlineStr">
        <is>
          <t>retarget</t>
        </is>
      </c>
      <c r="H578" t="inlineStr">
        <is>
          <t>seed_h2o_ai_engineer</t>
        </is>
      </c>
      <c r="I578" t="inlineStr">
        <is>
          <t>H2O AI Engineer</t>
        </is>
      </c>
      <c r="J578"/>
      <c r="K578"/>
      <c r="L578"/>
      <c r="M578"/>
      <c r="N578">
        <v>94.5</v>
      </c>
      <c r="O578" t="inlineStr">
        <is>
          <t>pass</t>
        </is>
      </c>
      <c r="P578">
        <f>HYPERLINK("file:///Users/jingyizhang/Documents/Playground/projects/local_job_resume_pipeline/data/deliverables/resume_portfolio/by_company/idexx-livestock-diagnostics/2026-04-03/69cffd9dcfdc6132f943764b/resume.md","/Users/jingyizhang/Documents/Playground/projects/local_job_resume_pipeline/data/deliverables/resume_portfolio/by_company/idexx-livestock-diagnostics/2026-04-03/69cffd9dcfdc6132f943764b/resume.md")</f>
      </c>
      <c r="Q578"/>
      <c r="R578">
        <f>HYPERLINK("https://idexx.wd1.myworkdayjobs.com/idexx/job/Westbrook-ME/Computer-Vision-Data-Scientist_J-050855","https://idexx.wd1.myworkdayjobs.com/idexx/job/Westbrook-ME/Computer-Vision-Data-Scientist_J-050855")</f>
      </c>
    </row>
    <row r="579">
      <c r="A579" t="inlineStr">
        <is>
          <t>Tata Consultancy Services</t>
        </is>
      </c>
      <c r="B579" t="inlineStr">
        <is>
          <t>2026-04-03 12:40:11</t>
        </is>
      </c>
      <c r="C579" t="inlineStr">
        <is>
          <t>69cffb7b366bb95ba551a58c</t>
        </is>
      </c>
      <c r="D579" t="inlineStr">
        <is>
          <t>Developer Data Management</t>
        </is>
      </c>
      <c r="E579" t="inlineStr">
        <is>
          <t>1_Discovered</t>
        </is>
      </c>
      <c r="F579" t="inlineStr">
        <is>
          <t>seed_validation</t>
        </is>
      </c>
      <c r="G579" t="inlineStr">
        <is>
          <t>reuse</t>
        </is>
      </c>
      <c r="H579" t="inlineStr">
        <is>
          <t>seed_codex_amazon_sde</t>
        </is>
      </c>
      <c r="I579" t="inlineStr">
        <is>
          <t>Amazon SDE</t>
        </is>
      </c>
      <c r="J579" t="inlineStr">
        <is>
          <t>amazon_platform_mainline</t>
        </is>
      </c>
      <c r="K579" t="inlineStr">
        <is>
          <t>mainline</t>
        </is>
      </c>
      <c r="L579"/>
      <c r="M579"/>
      <c r="N579"/>
      <c r="O579"/>
      <c r="P579"/>
      <c r="Q579"/>
      <c r="R579">
        <f>HYPERLINK("https://ibegin.tcsapps.com/candidate/jobs/405148J","https://ibegin.tcsapps.com/candidate/jobs/405148J")</f>
      </c>
    </row>
    <row r="580">
      <c r="A580" t="inlineStr">
        <is>
          <t>Microsoft</t>
        </is>
      </c>
      <c r="B580" t="inlineStr">
        <is>
          <t>2026-04-03 12:40:08</t>
        </is>
      </c>
      <c r="C580" t="inlineStr">
        <is>
          <t>69bf697c2c312363dcd22bcc</t>
        </is>
      </c>
      <c r="D580" t="inlineStr">
        <is>
          <t>Applied Scientist: Microsoft AI Development Acceleration Program</t>
        </is>
      </c>
      <c r="E580" t="inlineStr">
        <is>
          <t>1_Discovered</t>
        </is>
      </c>
      <c r="F580" t="inlineStr">
        <is>
          <t>fanout_batch</t>
        </is>
      </c>
      <c r="G580" t="inlineStr">
        <is>
          <t>reuse</t>
        </is>
      </c>
      <c r="H580" t="inlineStr">
        <is>
          <t>seed_bytedance_ml_grad</t>
        </is>
      </c>
      <c r="I580" t="inlineStr">
        <is>
          <t>ByteDance ML Grad</t>
        </is>
      </c>
      <c r="J580"/>
      <c r="K580"/>
      <c r="L580"/>
      <c r="M580"/>
      <c r="N580"/>
      <c r="O580"/>
      <c r="P580"/>
      <c r="Q580"/>
      <c r="R580">
        <f>HYPERLINK("https://apply.careers.microsoft.com/careers/job/1970393556638831?utm_source=linkedin&amp;domain=microsoft.com&amp;src=LinkedIn","https://apply.careers.microsoft.com/careers/job/1970393556638831?utm_source=linkedin&amp;domain=microsoft.com&amp;src=LinkedIn")</f>
      </c>
    </row>
    <row r="581">
      <c r="A581" t="inlineStr">
        <is>
          <t>NVIDIA</t>
        </is>
      </c>
      <c r="B581" t="inlineStr">
        <is>
          <t>2026-04-03 12:39:55</t>
        </is>
      </c>
      <c r="C581" t="inlineStr">
        <is>
          <t>69b379f7ae2a534885eae713</t>
        </is>
      </c>
      <c r="D581" t="inlineStr">
        <is>
          <t>Senior Perception Engineer, Obstacle Foundation Models - Autonomous Vehicles</t>
        </is>
      </c>
      <c r="E581" t="inlineStr">
        <is>
          <t>1_Discovered</t>
        </is>
      </c>
      <c r="F581" t="inlineStr">
        <is>
          <t>fanout_batch</t>
        </is>
      </c>
      <c r="G581" t="inlineStr">
        <is>
          <t>retarget</t>
        </is>
      </c>
      <c r="H581" t="inlineStr">
        <is>
          <t>seed_amazon_agi_ml_anchor</t>
        </is>
      </c>
      <c r="I581" t="inlineStr">
        <is>
          <t>Amazon AGI/LLM Anchor</t>
        </is>
      </c>
      <c r="J581" t="inlineStr">
        <is>
          <t>amazon_ai_ads_mainline</t>
        </is>
      </c>
      <c r="K581" t="inlineStr">
        <is>
          <t>mainline</t>
        </is>
      </c>
      <c r="L581"/>
      <c r="M581"/>
      <c r="N581">
        <v>93.7</v>
      </c>
      <c r="O581" t="inlineStr">
        <is>
          <t>pass</t>
        </is>
      </c>
      <c r="P581">
        <f>HYPERLINK("file:///Users/jingyizhang/Documents/Playground/projects/local_job_resume_pipeline/data/deliverables/resume_portfolio/by_company/nvidia/2026-04-03/69b379f7ae2a534885eae713/resume.md","/Users/jingyizhang/Documents/Playground/projects/local_job_resume_pipeline/data/deliverables/resume_portfolio/by_company/nvidia/2026-04-03/69b379f7ae2a534885eae713/resume.md")</f>
      </c>
      <c r="Q581"/>
      <c r="R581">
        <f>HYPERLINK("https://nvidia.wd5.myworkdayjobs.com/NVIDIAExternalCareerSite/job/US-CA-Santa-Clara/Senior-Perception-Engineer--Obstacle-Foundation-Models---Autonomous-Vehicles_JR2014462?source=jobboardlinkedin","https://nvidia.wd5.myworkdayjobs.com/NVIDIAExternalCareerSite/job/US-CA-Santa-Clara/Senior-Perception-Engineer--Obstacle-Foundation-Models---Autonomous-Vehicles_JR2014462?source=jobboardlinkedin")</f>
      </c>
    </row>
    <row r="582">
      <c r="A582" t="inlineStr">
        <is>
          <t>Goldman Sachs</t>
        </is>
      </c>
      <c r="B582" t="inlineStr">
        <is>
          <t>2026-04-03 12:39:29</t>
        </is>
      </c>
      <c r="C582" t="inlineStr">
        <is>
          <t>69b43ebf06c1ba00c54572e0</t>
        </is>
      </c>
      <c r="D582" t="inlineStr">
        <is>
          <t>Asset &amp; Wealth Management - Software Engineer - Associate - New York</t>
        </is>
      </c>
      <c r="E582" t="inlineStr">
        <is>
          <t>1_Discovered</t>
        </is>
      </c>
      <c r="F582" t="inlineStr">
        <is>
          <t>fanout_batch</t>
        </is>
      </c>
      <c r="G582" t="inlineStr">
        <is>
          <t>reuse</t>
        </is>
      </c>
      <c r="H582" t="inlineStr">
        <is>
          <t>seed_codex_google_fullstack</t>
        </is>
      </c>
      <c r="I582" t="inlineStr">
        <is>
          <t>Google Full Stack</t>
        </is>
      </c>
      <c r="J582" t="inlineStr">
        <is>
          <t>google_product_ai_mainline</t>
        </is>
      </c>
      <c r="K582" t="inlineStr">
        <is>
          <t>mainline</t>
        </is>
      </c>
      <c r="L582"/>
      <c r="M582"/>
      <c r="N582"/>
      <c r="O582"/>
      <c r="P582"/>
      <c r="Q582"/>
      <c r="R582">
        <f>HYPERLINK("https://hdpc.fa.us2.oraclecloud.com/hcmUI/CandidateExperience/en/job/164571/?utm_medium=jobshare&amp;mode=job&amp;iis=LinkedIn","https://hdpc.fa.us2.oraclecloud.com/hcmUI/CandidateExperience/en/job/164571/?utm_medium=jobshare&amp;mode=job&amp;iis=LinkedIn")</f>
      </c>
    </row>
    <row r="583">
      <c r="A583" t="inlineStr">
        <is>
          <t>Genentech</t>
        </is>
      </c>
      <c r="B583" t="inlineStr">
        <is>
          <t>2026-04-03 12:38:49</t>
        </is>
      </c>
      <c r="C583" t="inlineStr">
        <is>
          <t>69851a268da7a612045f739d</t>
        </is>
      </c>
      <c r="D583" t="inlineStr">
        <is>
          <t>Machine Learning Engineer, Foundation Models (Prescient / AI for Drug Discovery)</t>
        </is>
      </c>
      <c r="E583" t="inlineStr">
        <is>
          <t>1_Discovered</t>
        </is>
      </c>
      <c r="F583" t="inlineStr">
        <is>
          <t>fanout_batch</t>
        </is>
      </c>
      <c r="G583" t="inlineStr">
        <is>
          <t>retarget</t>
        </is>
      </c>
      <c r="H583" t="inlineStr">
        <is>
          <t>seed_bytedance_ml_grad</t>
        </is>
      </c>
      <c r="I583" t="inlineStr">
        <is>
          <t>ByteDance ML Grad</t>
        </is>
      </c>
      <c r="J583"/>
      <c r="K583"/>
      <c r="L583"/>
      <c r="M583"/>
      <c r="N583">
        <v>94.7</v>
      </c>
      <c r="O583" t="inlineStr">
        <is>
          <t>pass</t>
        </is>
      </c>
      <c r="P583">
        <f>HYPERLINK("file:///Users/jingyizhang/Documents/Playground/projects/local_job_resume_pipeline/data/deliverables/resume_portfolio/by_company/genentech/2026-04-03/69851a268da7a612045f739d/resume.md","/Users/jingyizhang/Documents/Playground/projects/local_job_resume_pipeline/data/deliverables/resume_portfolio/by_company/genentech/2026-04-03/69851a268da7a612045f739d/resume.md")</f>
      </c>
      <c r="Q583"/>
      <c r="R583">
        <f>HYPERLINK("https://careers.gene.com/us/en/job/GENEUS202509122066EXTERNALENUS/Machine-Learning-Engineer-Foundation-Models-Prescient-AI-for-Drug-Discovery?utm_source=linkedin&amp;utm_medium=phenom-feeds","https://careers.gene.com/us/en/job/GENEUS202509122066EXTERNALENUS/Machine-Learning-Engineer-Foundation-Models-Prescient-AI-for-Drug-Discovery?utm_source=linkedin&amp;utm_medium=phenom-feeds")</f>
      </c>
    </row>
    <row r="584">
      <c r="A584" t="inlineStr">
        <is>
          <t>United States Cold Storage, Inc.</t>
        </is>
      </c>
      <c r="B584" t="inlineStr">
        <is>
          <t>2026-04-03 12:28:53</t>
        </is>
      </c>
      <c r="C584" t="inlineStr">
        <is>
          <t>69cff8d554f00230c6d0e122</t>
        </is>
      </c>
      <c r="D584" t="inlineStr">
        <is>
          <t>Data Scientist II</t>
        </is>
      </c>
      <c r="E584" t="inlineStr">
        <is>
          <t>1_Discovered</t>
        </is>
      </c>
      <c r="F584" t="inlineStr">
        <is>
          <t>fanout_batch</t>
        </is>
      </c>
      <c r="G584" t="inlineStr">
        <is>
          <t>reuse</t>
        </is>
      </c>
      <c r="H584" t="inlineStr">
        <is>
          <t>seed_plaid_data_scientist</t>
        </is>
      </c>
      <c r="I584" t="inlineStr">
        <is>
          <t>Plaid Data Scientist</t>
        </is>
      </c>
      <c r="J584"/>
      <c r="K584"/>
      <c r="L584"/>
      <c r="M584"/>
      <c r="N584"/>
      <c r="O584"/>
      <c r="P584"/>
      <c r="Q584"/>
      <c r="R584">
        <f>HYPERLINK("https://recruiting.ultipro.com/UNI1105USCS/JobBoard/f098a23a-c6d0-4336-8e06-18c0579c891d/OpportunityDetail?opportunityId=2d03b8fc-3b04-4e07-b2af-ae25ac0618cb&amp;source=jobright","https://recruiting.ultipro.com/UNI1105USCS/JobBoard/f098a23a-c6d0-4336-8e06-18c0579c891d/OpportunityDetail?opportunityId=2d03b8fc-3b04-4e07-b2af-ae25ac0618cb&amp;source=jobright")</f>
      </c>
    </row>
    <row r="585">
      <c r="A585" t="inlineStr">
        <is>
          <t>Navan</t>
        </is>
      </c>
      <c r="B585" t="inlineStr">
        <is>
          <t>2026-04-03 12:28:33</t>
        </is>
      </c>
      <c r="C585" t="inlineStr">
        <is>
          <t>69cff8c154f00230c6d0e10f</t>
        </is>
      </c>
      <c r="D585" t="inlineStr">
        <is>
          <t>New College Grad Software Engineer (Back-End)</t>
        </is>
      </c>
      <c r="E585" t="inlineStr">
        <is>
          <t>1_Discovered</t>
        </is>
      </c>
      <c r="F585" t="inlineStr">
        <is>
          <t>seed_validation</t>
        </is>
      </c>
      <c r="G585" t="inlineStr">
        <is>
          <t>reuse</t>
        </is>
      </c>
      <c r="H585" t="inlineStr">
        <is>
          <t>seed_backend_java_spring_api</t>
        </is>
      </c>
      <c r="I585" t="inlineStr">
        <is>
          <t>Backend Java Spring API</t>
        </is>
      </c>
      <c r="J585"/>
      <c r="K585"/>
      <c r="L585"/>
      <c r="M585"/>
      <c r="N585"/>
      <c r="O585"/>
      <c r="P585"/>
      <c r="Q585"/>
      <c r="R585">
        <f>HYPERLINK("https://boards.greenhouse.io/embed/job_app?token=7777949&amp;utm_source=jobright","https://boards.greenhouse.io/embed/job_app?token=7777949&amp;utm_source=jobright")</f>
      </c>
    </row>
    <row r="586">
      <c r="A586" t="inlineStr">
        <is>
          <t>Mass General Brigham</t>
        </is>
      </c>
      <c r="B586" t="inlineStr">
        <is>
          <t>2026-04-03 12:28:32</t>
        </is>
      </c>
      <c r="C586" t="inlineStr">
        <is>
          <t>69cff8c054f00230c6d0e106</t>
        </is>
      </c>
      <c r="D586" t="inlineStr">
        <is>
          <t>Data Scientist</t>
        </is>
      </c>
      <c r="E586" t="inlineStr">
        <is>
          <t>1_Discovered</t>
        </is>
      </c>
      <c r="F586" t="inlineStr">
        <is>
          <t>fanout_batch</t>
        </is>
      </c>
      <c r="G586" t="inlineStr">
        <is>
          <t>retarget</t>
        </is>
      </c>
      <c r="H586" t="inlineStr">
        <is>
          <t>seed_bytedance_ml_grad</t>
        </is>
      </c>
      <c r="I586" t="inlineStr">
        <is>
          <t>ByteDance ML Grad</t>
        </is>
      </c>
      <c r="J586"/>
      <c r="K586"/>
      <c r="L586"/>
      <c r="M586"/>
      <c r="N586">
        <v>93.5</v>
      </c>
      <c r="O586" t="inlineStr">
        <is>
          <t>pass</t>
        </is>
      </c>
      <c r="P586">
        <f>HYPERLINK("file:///Users/jingyizhang/Documents/Playground/projects/local_job_resume_pipeline/data/deliverables/resume_portfolio/by_company/mass-general-brigham/2026-04-03/69cff8c054f00230c6d0e106/resume.md","/Users/jingyizhang/Documents/Playground/projects/local_job_resume_pipeline/data/deliverables/resume_portfolio/by_company/mass-general-brigham/2026-04-03/69cff8c054f00230c6d0e106/resume.md")</f>
      </c>
      <c r="Q586"/>
      <c r="R586">
        <f>HYPERLINK("https://massgeneralbrigham.wd1.myworkdayjobs.com/MGBExternal/job/Boston-MA/Data-Scientist_RQ4058508?source=LinkedIn","https://massgeneralbrigham.wd1.myworkdayjobs.com/MGBExternal/job/Boston-MA/Data-Scientist_RQ4058508?source=LinkedIn")</f>
      </c>
    </row>
    <row r="587">
      <c r="A587" t="inlineStr">
        <is>
          <t>MongoDB</t>
        </is>
      </c>
      <c r="B587" t="inlineStr">
        <is>
          <t>2026-04-03 12:27:24</t>
        </is>
      </c>
      <c r="C587" t="inlineStr">
        <is>
          <t>69b368daae2a534885eacaeb</t>
        </is>
      </c>
      <c r="D587" t="inlineStr">
        <is>
          <t>Senior Data Analyst</t>
        </is>
      </c>
      <c r="E587" t="inlineStr">
        <is>
          <t>1_Discovered</t>
        </is>
      </c>
      <c r="F587" t="inlineStr">
        <is>
          <t>fanout_batch</t>
        </is>
      </c>
      <c r="G587" t="inlineStr">
        <is>
          <t>reuse</t>
        </is>
      </c>
      <c r="H587" t="inlineStr">
        <is>
          <t>seed_plaid_data_scientist</t>
        </is>
      </c>
      <c r="I587" t="inlineStr">
        <is>
          <t>Plaid Data Scientist</t>
        </is>
      </c>
      <c r="J587"/>
      <c r="K587"/>
      <c r="L587"/>
      <c r="M587"/>
      <c r="N587"/>
      <c r="O587"/>
      <c r="P587"/>
      <c r="Q587"/>
      <c r="R587">
        <f>HYPERLINK("https://boards.greenhouse.io/embed/job_app?token=7696633&amp;utm_source=jobright","https://boards.greenhouse.io/embed/job_app?token=7696633&amp;utm_source=jobright")</f>
      </c>
    </row>
    <row r="588">
      <c r="A588" t="inlineStr">
        <is>
          <t>Microsoft</t>
        </is>
      </c>
      <c r="B588" t="inlineStr">
        <is>
          <t>2026-04-03 12:27:15</t>
        </is>
      </c>
      <c r="C588" t="inlineStr">
        <is>
          <t>69cff87354f00230c6d0e0b2</t>
        </is>
      </c>
      <c r="D588" t="inlineStr">
        <is>
          <t>Senior Software Engineer</t>
        </is>
      </c>
      <c r="E588" t="inlineStr">
        <is>
          <t>1_Discovered</t>
        </is>
      </c>
      <c r="F588" t="inlineStr">
        <is>
          <t>fanout_batch</t>
        </is>
      </c>
      <c r="G588" t="inlineStr">
        <is>
          <t>reuse</t>
        </is>
      </c>
      <c r="H588" t="inlineStr">
        <is>
          <t>seed_microsoft_coreai_platform_anchor</t>
        </is>
      </c>
      <c r="I588" t="inlineStr">
        <is>
          <t>Microsoft CoreAI/BIC Platform Anchor</t>
        </is>
      </c>
      <c r="J588"/>
      <c r="K588"/>
      <c r="L588"/>
      <c r="M588"/>
      <c r="N588"/>
      <c r="O588"/>
      <c r="P588"/>
      <c r="Q588"/>
      <c r="R588">
        <f>HYPERLINK("https://apply.careers.microsoft.com/careers/job/1970393556640175?utm_source=linkedin&amp;domain=microsoft.com&amp;src=LinkedIn","https://apply.careers.microsoft.com/careers/job/1970393556640175?utm_source=linkedin&amp;domain=microsoft.com&amp;src=LinkedIn")</f>
      </c>
    </row>
    <row r="589">
      <c r="A589" t="inlineStr">
        <is>
          <t>TransUnion</t>
        </is>
      </c>
      <c r="B589" t="inlineStr">
        <is>
          <t>2026-04-03 12:26:53</t>
        </is>
      </c>
      <c r="C589" t="inlineStr">
        <is>
          <t>69cff85dcfdc6132f943741f</t>
        </is>
      </c>
      <c r="D589" t="inlineStr">
        <is>
          <t>Data Scientist</t>
        </is>
      </c>
      <c r="E589" t="inlineStr">
        <is>
          <t>1_Discovered</t>
        </is>
      </c>
      <c r="F589" t="inlineStr">
        <is>
          <t>fanout_batch</t>
        </is>
      </c>
      <c r="G589" t="inlineStr">
        <is>
          <t>retarget</t>
        </is>
      </c>
      <c r="H589" t="inlineStr">
        <is>
          <t>seed_qualified_health_data_engineer</t>
        </is>
      </c>
      <c r="I589" t="inlineStr">
        <is>
          <t>Qualified Health Data Engineer</t>
        </is>
      </c>
      <c r="J589"/>
      <c r="K589"/>
      <c r="L589"/>
      <c r="M589"/>
      <c r="N589">
        <v>94.0</v>
      </c>
      <c r="O589" t="inlineStr">
        <is>
          <t>pass</t>
        </is>
      </c>
      <c r="P589">
        <f>HYPERLINK("file:///Users/jingyizhang/Documents/Playground/projects/local_job_resume_pipeline/data/deliverables/resume_portfolio/by_company/transunion/2026-04-03/69cff85dcfdc6132f943741f/resume.md","/Users/jingyizhang/Documents/Playground/projects/local_job_resume_pipeline/data/deliverables/resume_portfolio/by_company/transunion/2026-04-03/69cff85dcfdc6132f943741f/resume.md")</f>
      </c>
      <c r="Q589"/>
      <c r="R589">
        <f>HYPERLINK("https://transunion.wd5.myworkdayjobs.com/TransUnion/job/Chicago-Illinois/Data-Scientist_19038804?source=LinkedIn","https://transunion.wd5.myworkdayjobs.com/TransUnion/job/Chicago-Illinois/Data-Scientist_19038804?source=LinkedIn")</f>
      </c>
    </row>
    <row r="590">
      <c r="A590" t="inlineStr">
        <is>
          <t>Etched</t>
        </is>
      </c>
      <c r="B590" t="inlineStr">
        <is>
          <t>2026-04-03 12:13:53</t>
        </is>
      </c>
      <c r="C590" t="inlineStr">
        <is>
          <t>69b43fe9569738374138e32c</t>
        </is>
      </c>
      <c r="D590" t="inlineStr">
        <is>
          <t>Software Engineer - Performance Tools</t>
        </is>
      </c>
      <c r="E590" t="inlineStr">
        <is>
          <t>1_Discovered</t>
        </is>
      </c>
      <c r="F590" t="inlineStr">
        <is>
          <t>fanout_batch</t>
        </is>
      </c>
      <c r="G590" t="inlineStr">
        <is>
          <t>reuse</t>
        </is>
      </c>
      <c r="H590" t="inlineStr">
        <is>
          <t>seed_aws_support_backend_anchor</t>
        </is>
      </c>
      <c r="I590" t="inlineStr">
        <is>
          <t>AWS Support Backend Anchor</t>
        </is>
      </c>
      <c r="J590"/>
      <c r="K590"/>
      <c r="L590"/>
      <c r="M590"/>
      <c r="N590"/>
      <c r="O590"/>
      <c r="P590"/>
      <c r="Q590"/>
      <c r="R590">
        <f>HYPERLINK("https://jobs.ashbyhq.com/Etched/610c3836-9798-46ea-931a-02bb95b29467?utm_source=LinkedInWrapping","https://jobs.ashbyhq.com/Etched/610c3836-9798-46ea-931a-02bb95b29467?utm_source=LinkedInWrapping")</f>
      </c>
    </row>
    <row r="591">
      <c r="A591" t="inlineStr">
        <is>
          <t>Microsoft</t>
        </is>
      </c>
      <c r="B591" t="inlineStr">
        <is>
          <t>2026-04-03 12:13:30</t>
        </is>
      </c>
      <c r="C591" t="inlineStr">
        <is>
          <t>69c76c801818a24cd84ce3cb</t>
        </is>
      </c>
      <c r="D591" t="inlineStr">
        <is>
          <t>Software Engineer II - CoreAI</t>
        </is>
      </c>
      <c r="E591" t="inlineStr">
        <is>
          <t>1_Discovered</t>
        </is>
      </c>
      <c r="F591" t="inlineStr">
        <is>
          <t>fanout_batch</t>
        </is>
      </c>
      <c r="G591" t="inlineStr">
        <is>
          <t>reuse</t>
        </is>
      </c>
      <c r="H591" t="inlineStr">
        <is>
          <t>seed_microsoft_coreai_platform_anchor</t>
        </is>
      </c>
      <c r="I591" t="inlineStr">
        <is>
          <t>Microsoft CoreAI/BIC Platform Anchor</t>
        </is>
      </c>
      <c r="J591"/>
      <c r="K591"/>
      <c r="L591"/>
      <c r="M591"/>
      <c r="N591"/>
      <c r="O591"/>
      <c r="P591"/>
      <c r="Q591"/>
      <c r="R591">
        <f>HYPERLINK("https://apply.careers.microsoft.com/careers/job/1970393556657543?utm_source=linkedin&amp;domain=microsoft.com&amp;src=LinkedIn","https://apply.careers.microsoft.com/careers/job/1970393556657543?utm_source=linkedin&amp;domain=microsoft.com&amp;src=LinkedIn")</f>
      </c>
    </row>
    <row r="592">
      <c r="A592" t="inlineStr">
        <is>
          <t>Zendesk</t>
        </is>
      </c>
      <c r="B592" t="inlineStr">
        <is>
          <t>2026-04-03 12:09:23</t>
        </is>
      </c>
      <c r="C592" t="inlineStr">
        <is>
          <t>69cff443891d7b11cfcd760a</t>
        </is>
      </c>
      <c r="D592" t="inlineStr">
        <is>
          <t>Senior Machine Learning Engineer - Hybrid (San Francisco or Austin)</t>
        </is>
      </c>
      <c r="E592" t="inlineStr">
        <is>
          <t>1_Discovered</t>
        </is>
      </c>
      <c r="F592" t="inlineStr">
        <is>
          <t>fanout_batch</t>
        </is>
      </c>
      <c r="G592" t="inlineStr">
        <is>
          <t>retarget</t>
        </is>
      </c>
      <c r="H592" t="inlineStr">
        <is>
          <t>seed_bytedance_ml_grad</t>
        </is>
      </c>
      <c r="I592" t="inlineStr">
        <is>
          <t>ByteDance ML Grad</t>
        </is>
      </c>
      <c r="J592"/>
      <c r="K592"/>
      <c r="L592"/>
      <c r="M592"/>
      <c r="N592">
        <v>94.5</v>
      </c>
      <c r="O592" t="inlineStr">
        <is>
          <t>pass</t>
        </is>
      </c>
      <c r="P592">
        <f>HYPERLINK("file:///Users/jingyizhang/Documents/Playground/projects/local_job_resume_pipeline/data/deliverables/resume_portfolio/by_company/zendesk/2026-04-03/69cff443891d7b11cfcd760a/resume.md","/Users/jingyizhang/Documents/Playground/projects/local_job_resume_pipeline/data/deliverables/resume_portfolio/by_company/zendesk/2026-04-03/69cff443891d7b11cfcd760a/resume.md")</f>
      </c>
      <c r="Q592"/>
      <c r="R592">
        <f>HYPERLINK("https://zendesk.wd1.myworkdayjobs.com/en-US/zendesk/job/San-Francisco-California-United-States-of-America/Senior-Machine-Learning-Engineer---Hybrid--San-Francisco-or-Austin-_R34578?source=LinkedIn","https://zendesk.wd1.myworkdayjobs.com/en-US/zendesk/job/San-Francisco-California-United-States-of-America/Senior-Machine-Learning-Engineer---Hybrid--San-Francisco-or-Austin-_R34578?source=LinkedIn")</f>
      </c>
    </row>
    <row r="593">
      <c r="A593" t="inlineStr">
        <is>
          <t>United States Cold Storage, Inc.</t>
        </is>
      </c>
      <c r="B593" t="inlineStr">
        <is>
          <t>2026-04-03 12:09:13</t>
        </is>
      </c>
      <c r="C593" t="inlineStr">
        <is>
          <t>69cff439366bb95ba551a29b</t>
        </is>
      </c>
      <c r="D593" t="inlineStr">
        <is>
          <t>Data Engineer</t>
        </is>
      </c>
      <c r="E593" t="inlineStr">
        <is>
          <t>1_Discovered</t>
        </is>
      </c>
      <c r="F593" t="inlineStr">
        <is>
          <t>fanout_batch</t>
        </is>
      </c>
      <c r="G593" t="inlineStr">
        <is>
          <t>retarget</t>
        </is>
      </c>
      <c r="H593" t="inlineStr">
        <is>
          <t>seed_h2o_ai_engineer</t>
        </is>
      </c>
      <c r="I593" t="inlineStr">
        <is>
          <t>H2O AI Engineer</t>
        </is>
      </c>
      <c r="J593"/>
      <c r="K593"/>
      <c r="L593"/>
      <c r="M593"/>
      <c r="N593">
        <v>94.0</v>
      </c>
      <c r="O593" t="inlineStr">
        <is>
          <t>pass</t>
        </is>
      </c>
      <c r="P593">
        <f>HYPERLINK("file:///Users/jingyizhang/Documents/Playground/projects/local_job_resume_pipeline/data/deliverables/resume_portfolio/by_company/united-states-cold-storage-inc/2026-04-03/69cff439366bb95ba551a29b/resume.md","/Users/jingyizhang/Documents/Playground/projects/local_job_resume_pipeline/data/deliverables/resume_portfolio/by_company/united-states-cold-storage-inc/2026-04-03/69cff439366bb95ba551a29b/resume.md")</f>
      </c>
      <c r="Q593"/>
      <c r="R593">
        <f>HYPERLINK("https://recruiting.ultipro.com/UNI1105USCS/JobBoard/f098a23a-c6d0-4336-8e06-18c0579c891d/OpportunityDetail?opportunityId=4a61bae5-ec78-405e-a800-8053cf5b513a&amp;source=jobright","https://recruiting.ultipro.com/UNI1105USCS/JobBoard/f098a23a-c6d0-4336-8e06-18c0579c891d/OpportunityDetail?opportunityId=4a61bae5-ec78-405e-a800-8053cf5b513a&amp;source=jobright")</f>
      </c>
    </row>
    <row r="594">
      <c r="A594" t="inlineStr">
        <is>
          <t>Tuvoli</t>
        </is>
      </c>
      <c r="B594" t="inlineStr">
        <is>
          <t>2026-04-03 11:58:47</t>
        </is>
      </c>
      <c r="C594" t="inlineStr">
        <is>
          <t>69cff1c7366bb95ba5519d00</t>
        </is>
      </c>
      <c r="D594" t="inlineStr">
        <is>
          <t>Product Analyst – Quality Assurance + Support</t>
        </is>
      </c>
      <c r="E594" t="inlineStr">
        <is>
          <t>1_Discovered</t>
        </is>
      </c>
      <c r="F594" t="inlineStr">
        <is>
          <t>fanout_batch</t>
        </is>
      </c>
      <c r="G594" t="inlineStr">
        <is>
          <t>reuse</t>
        </is>
      </c>
      <c r="H594" t="inlineStr">
        <is>
          <t>seed_magnite_sdet</t>
        </is>
      </c>
      <c r="I594" t="inlineStr">
        <is>
          <t>Magnite SDET</t>
        </is>
      </c>
      <c r="J594"/>
      <c r="K594"/>
      <c r="L594"/>
      <c r="M594"/>
      <c r="N594"/>
      <c r="O594"/>
      <c r="P594"/>
      <c r="Q594"/>
      <c r="R594">
        <f>HYPERLINK("https://app.dover.com/apply/Tuvoli/34ae2886-aa47-4f41-8d65-32ef6baeacfd","https://app.dover.com/apply/Tuvoli/34ae2886-aa47-4f41-8d65-32ef6baeacfd")</f>
      </c>
    </row>
    <row r="595">
      <c r="A595" t="inlineStr">
        <is>
          <t>Honeywell</t>
        </is>
      </c>
      <c r="B595" t="inlineStr">
        <is>
          <t>2026-04-03 11:58:08</t>
        </is>
      </c>
      <c r="C595" t="inlineStr">
        <is>
          <t>69cff1a0cdb525785fba5d3e</t>
        </is>
      </c>
      <c r="D595" t="inlineStr">
        <is>
          <t>Data Engineer</t>
        </is>
      </c>
      <c r="E595" t="inlineStr">
        <is>
          <t>1_Discovered</t>
        </is>
      </c>
      <c r="F595" t="inlineStr">
        <is>
          <t>fanout_batch</t>
        </is>
      </c>
      <c r="G595" t="inlineStr">
        <is>
          <t>retarget</t>
        </is>
      </c>
      <c r="H595" t="inlineStr">
        <is>
          <t>seed_h2o_ai_engineer</t>
        </is>
      </c>
      <c r="I595" t="inlineStr">
        <is>
          <t>H2O AI Engineer</t>
        </is>
      </c>
      <c r="J595"/>
      <c r="K595"/>
      <c r="L595"/>
      <c r="M595"/>
      <c r="N595">
        <v>88.9</v>
      </c>
      <c r="O595" t="inlineStr">
        <is>
          <t>conditional_pass</t>
        </is>
      </c>
      <c r="P595">
        <f>HYPERLINK("file:///Users/jingyizhang/Documents/Playground/projects/local_job_resume_pipeline/data/deliverables/resume_portfolio/by_company/honeywell/2026-04-03/69cff1a0cdb525785fba5d3e/resume.md","/Users/jingyizhang/Documents/Playground/projects/local_job_resume_pipeline/data/deliverables/resume_portfolio/by_company/honeywell/2026-04-03/69cff1a0cdb525785fba5d3e/resume.md")</f>
      </c>
      <c r="Q595"/>
      <c r="R595">
        <f>HYPERLINK("https://careers.honeywell.com/en/sites/Honeywell/job/145130","https://careers.honeywell.com/en/sites/Honeywell/job/145130")</f>
      </c>
    </row>
    <row r="596">
      <c r="A596" t="inlineStr">
        <is>
          <t>SharkNinja</t>
        </is>
      </c>
      <c r="B596" t="inlineStr">
        <is>
          <t>2026-04-03 11:56:15</t>
        </is>
      </c>
      <c r="C596" t="inlineStr">
        <is>
          <t>697c7d75137a051025658402</t>
        </is>
      </c>
      <c r="D596" t="inlineStr">
        <is>
          <t>Senior Software Engineer</t>
        </is>
      </c>
      <c r="E596" t="inlineStr">
        <is>
          <t>1_Discovered</t>
        </is>
      </c>
      <c r="F596" t="inlineStr">
        <is>
          <t>fanout_batch</t>
        </is>
      </c>
      <c r="G596" t="inlineStr">
        <is>
          <t>retarget</t>
        </is>
      </c>
      <c r="H596" t="inlineStr">
        <is>
          <t>seed_fullstack_dotnet_azure</t>
        </is>
      </c>
      <c r="I596" t="inlineStr">
        <is>
          <t>Fullstack DotNet Azure</t>
        </is>
      </c>
      <c r="J596"/>
      <c r="K596"/>
      <c r="L596"/>
      <c r="M596"/>
      <c r="N596">
        <v>93.8</v>
      </c>
      <c r="O596" t="inlineStr">
        <is>
          <t>pass</t>
        </is>
      </c>
      <c r="P596">
        <f>HYPERLINK("file:///Users/jingyizhang/Documents/Playground/projects/local_job_resume_pipeline/data/deliverables/resume_portfolio/by_company/sharkninja/2026-04-03/697c7d75137a051025658402/resume.md","/Users/jingyizhang/Documents/Playground/projects/local_job_resume_pipeline/data/deliverables/resume_portfolio/by_company/sharkninja/2026-04-03/697c7d75137a051025658402/resume.md")</f>
      </c>
      <c r="Q596"/>
      <c r="R596">
        <f>HYPERLINK("https://careers.sharkninja.com/job/-/-/47204/91168898176?gh_src=4c950fc46us","https://careers.sharkninja.com/job/-/-/47204/91168898176?gh_src=4c950fc46us")</f>
      </c>
    </row>
    <row r="597">
      <c r="A597" t="inlineStr">
        <is>
          <t>Phoenix Staff, Inc.</t>
        </is>
      </c>
      <c r="B597" t="inlineStr">
        <is>
          <t>2026-04-03 11:55:54</t>
        </is>
      </c>
      <c r="C597" t="inlineStr">
        <is>
          <t>69cff11acfdc6132f9436bd3</t>
        </is>
      </c>
      <c r="D597" t="inlineStr">
        <is>
          <t>.NET Developer</t>
        </is>
      </c>
      <c r="E597" t="inlineStr">
        <is>
          <t>1_Discovered</t>
        </is>
      </c>
      <c r="F597" t="inlineStr">
        <is>
          <t>fanout_batch</t>
        </is>
      </c>
      <c r="G597" t="inlineStr">
        <is>
          <t>retarget</t>
        </is>
      </c>
      <c r="H597" t="inlineStr">
        <is>
          <t>seed_generalist_dotnet_enterprise</t>
        </is>
      </c>
      <c r="I597" t="inlineStr">
        <is>
          <t>Generalist DotNet Enterprise</t>
        </is>
      </c>
      <c r="J597"/>
      <c r="K597"/>
      <c r="L597"/>
      <c r="M597"/>
      <c r="N597">
        <v>93.1</v>
      </c>
      <c r="O597" t="inlineStr">
        <is>
          <t>pass</t>
        </is>
      </c>
      <c r="P597">
        <f>HYPERLINK("file:///Users/jingyizhang/Documents/Playground/projects/local_job_resume_pipeline/data/deliverables/resume_portfolio/by_company/phoenix-staff-inc/2026-04-03/69cff11acfdc6132f9436bd3/resume.md","/Users/jingyizhang/Documents/Playground/projects/local_job_resume_pipeline/data/deliverables/resume_portfolio/by_company/phoenix-staff-inc/2026-04-03/69cff11acfdc6132f9436bd3/resume.md")</f>
      </c>
      <c r="Q597"/>
      <c r="R597">
        <f>HYPERLINK("https://pod4.app.loxo.co/job/NDA3ODgtYzl3eHZiaGR6bGR2MmVqNg==?source_type=li&amp;t=1775233713","https://pod4.app.loxo.co/job/NDA3ODgtYzl3eHZiaGR6bGR2MmVqNg==?source_type=li&amp;t=1775233713")</f>
      </c>
    </row>
    <row r="598">
      <c r="A598" t="inlineStr">
        <is>
          <t>Outdoorsy</t>
        </is>
      </c>
      <c r="B598" t="inlineStr">
        <is>
          <t>2026-04-03 11:51:37</t>
        </is>
      </c>
      <c r="C598" t="inlineStr">
        <is>
          <t>69cff01954f00230c6d0d7a8</t>
        </is>
      </c>
      <c r="D598" t="inlineStr">
        <is>
          <t>Senior Data Scientist</t>
        </is>
      </c>
      <c r="E598" t="inlineStr">
        <is>
          <t>1_Discovered</t>
        </is>
      </c>
      <c r="F598" t="inlineStr">
        <is>
          <t>fanout_batch</t>
        </is>
      </c>
      <c r="G598" t="inlineStr">
        <is>
          <t>retarget</t>
        </is>
      </c>
      <c r="H598" t="inlineStr">
        <is>
          <t>seed_plaid_data_scientist</t>
        </is>
      </c>
      <c r="I598" t="inlineStr">
        <is>
          <t>Plaid Data Scientist</t>
        </is>
      </c>
      <c r="J598"/>
      <c r="K598"/>
      <c r="L598"/>
      <c r="M598"/>
      <c r="N598">
        <v>93.6</v>
      </c>
      <c r="O598" t="inlineStr">
        <is>
          <t>pass</t>
        </is>
      </c>
      <c r="P598">
        <f>HYPERLINK("file:///Users/jingyizhang/Documents/Playground/projects/local_job_resume_pipeline/data/deliverables/resume_portfolio/by_company/outdoorsy/2026-04-03/69cff01954f00230c6d0d7a8/resume.md","/Users/jingyizhang/Documents/Playground/projects/local_job_resume_pipeline/data/deliverables/resume_portfolio/by_company/outdoorsy/2026-04-03/69cff01954f00230c6d0d7a8/resume.md")</f>
      </c>
      <c r="Q598"/>
      <c r="R598">
        <f>HYPERLINK("https://www.linkedin.com/jobs/view/4397565906","https://www.linkedin.com/jobs/view/4397565906")</f>
      </c>
    </row>
    <row r="599">
      <c r="A599" t="inlineStr">
        <is>
          <t>Software Guidance &amp; Assistance, Inc. (SGA, Inc.)</t>
        </is>
      </c>
      <c r="B599" t="inlineStr">
        <is>
          <t>2026-04-03 11:50:51</t>
        </is>
      </c>
      <c r="C599" t="inlineStr">
        <is>
          <t>69d00f30366bb95ba551b0b5</t>
        </is>
      </c>
      <c r="D599" t="inlineStr">
        <is>
          <t>Junior Java Developer</t>
        </is>
      </c>
      <c r="E599" t="inlineStr">
        <is>
          <t>1_Discovered</t>
        </is>
      </c>
      <c r="F599" t="inlineStr">
        <is>
          <t>fanout_batch</t>
        </is>
      </c>
      <c r="G599" t="inlineStr">
        <is>
          <t>reuse</t>
        </is>
      </c>
      <c r="H599" t="inlineStr">
        <is>
          <t>seed_cisco_backend_api</t>
        </is>
      </c>
      <c r="I599" t="inlineStr">
        <is>
          <t>Cisco Backend API</t>
        </is>
      </c>
      <c r="J599"/>
      <c r="K599"/>
      <c r="L599"/>
      <c r="M599"/>
      <c r="N599"/>
      <c r="O599"/>
      <c r="P599"/>
      <c r="Q599"/>
      <c r="R599">
        <f>HYPERLINK("https://www.linkedin.com/jobs/view/4393868039","https://www.linkedin.com/jobs/view/4393868039")</f>
      </c>
    </row>
    <row r="600">
      <c r="A600" t="inlineStr">
        <is>
          <t>WEX</t>
        </is>
      </c>
      <c r="B600" t="inlineStr">
        <is>
          <t>2026-04-03 11:49:51</t>
        </is>
      </c>
      <c r="C600" t="inlineStr">
        <is>
          <t>69b37e71ad360c0340a8a739</t>
        </is>
      </c>
      <c r="D600" t="inlineStr">
        <is>
          <t>Software Development Engineer 3</t>
        </is>
      </c>
      <c r="E600" t="inlineStr">
        <is>
          <t>1_Discovered</t>
        </is>
      </c>
      <c r="F600" t="inlineStr">
        <is>
          <t>fanout_batch</t>
        </is>
      </c>
      <c r="G600" t="inlineStr">
        <is>
          <t>retarget</t>
        </is>
      </c>
      <c r="H600" t="inlineStr">
        <is>
          <t>seed_cisco_backend_api</t>
        </is>
      </c>
      <c r="I600" t="inlineStr">
        <is>
          <t>Cisco Backend API</t>
        </is>
      </c>
      <c r="J600"/>
      <c r="K600"/>
      <c r="L600"/>
      <c r="M600"/>
      <c r="N600">
        <v>94.2</v>
      </c>
      <c r="O600" t="inlineStr">
        <is>
          <t>pass</t>
        </is>
      </c>
      <c r="P600">
        <f>HYPERLINK("file:///Users/jingyizhang/Documents/Playground/projects/local_job_resume_pipeline/data/deliverables/resume_portfolio/by_company/wex/2026-04-03/69b37e71ad360c0340a8a739/resume.md","/Users/jingyizhang/Documents/Playground/projects/local_job_resume_pipeline/data/deliverables/resume_portfolio/by_company/wex/2026-04-03/69b37e71ad360c0340a8a739/resume.md")</f>
      </c>
      <c r="Q600"/>
      <c r="R600">
        <f>HYPERLINK("https://careers.wexinc.com/us/en/job/WEXWEXUSR21035EXTERNALENUS/Software-Development-Engineer-3?utm_source=linkedin&amp;utm_medium=phenom-feeds","https://careers.wexinc.com/us/en/job/WEXWEXUSR21035EXTERNALENUS/Software-Development-Engineer-3?utm_source=linkedin&amp;utm_medium=phenom-feeds")</f>
      </c>
    </row>
    <row r="601">
      <c r="A601" t="inlineStr">
        <is>
          <t>Palantir Technologies</t>
        </is>
      </c>
      <c r="B601" t="inlineStr">
        <is>
          <t>2026-04-03 11:49:24</t>
        </is>
      </c>
      <c r="C601" t="inlineStr">
        <is>
          <t>68ca457c9f583c3191e3f28b</t>
        </is>
      </c>
      <c r="D601" t="inlineStr">
        <is>
          <t>Full Stack Software Engineer - Application Development</t>
        </is>
      </c>
      <c r="E601" t="inlineStr">
        <is>
          <t>1_Discovered</t>
        </is>
      </c>
      <c r="F601" t="inlineStr">
        <is>
          <t>fanout_batch</t>
        </is>
      </c>
      <c r="G601" t="inlineStr">
        <is>
          <t>retarget</t>
        </is>
      </c>
      <c r="H601" t="inlineStr">
        <is>
          <t>seed_codex_google_fullstack</t>
        </is>
      </c>
      <c r="I601" t="inlineStr">
        <is>
          <t>Google Full Stack</t>
        </is>
      </c>
      <c r="J601" t="inlineStr">
        <is>
          <t>google_product_ai_mainline</t>
        </is>
      </c>
      <c r="K601" t="inlineStr">
        <is>
          <t>mainline</t>
        </is>
      </c>
      <c r="L601"/>
      <c r="M601"/>
      <c r="N601">
        <v>95.5</v>
      </c>
      <c r="O601" t="inlineStr">
        <is>
          <t>pass</t>
        </is>
      </c>
      <c r="P601">
        <f>HYPERLINK("file:///Users/jingyizhang/Documents/Playground/projects/local_job_resume_pipeline/data/deliverables/resume_portfolio/by_company/palantir-technologies/2026-04-03/68ca457c9f583c3191e3f28b/resume.md","/Users/jingyizhang/Documents/Playground/projects/local_job_resume_pipeline/data/deliverables/resume_portfolio/by_company/palantir-technologies/2026-04-03/68ca457c9f583c3191e3f28b/resume.md")</f>
      </c>
      <c r="Q601"/>
      <c r="R601">
        <f>HYPERLINK("https://jobs.lever.co/palantir/2da4be12-bc7a-4950-87db-e9d68d955ff7/apply?lever-source=jobright","https://jobs.lever.co/palantir/2da4be12-bc7a-4950-87db-e9d68d955ff7/apply?lever-source=jobright")</f>
      </c>
    </row>
    <row r="602">
      <c r="A602" t="inlineStr">
        <is>
          <t>Vercel</t>
        </is>
      </c>
      <c r="B602" t="inlineStr">
        <is>
          <t>2026-04-03 11:42:44</t>
        </is>
      </c>
      <c r="C602" t="inlineStr">
        <is>
          <t>69979140e0bddb6acac6411d</t>
        </is>
      </c>
      <c r="D602" t="inlineStr">
        <is>
          <t>Software Engineer, Dashboard</t>
        </is>
      </c>
      <c r="E602" t="inlineStr">
        <is>
          <t>1_Discovered</t>
        </is>
      </c>
      <c r="F602" t="inlineStr">
        <is>
          <t>fanout_batch</t>
        </is>
      </c>
      <c r="G602" t="inlineStr">
        <is>
          <t>retarget</t>
        </is>
      </c>
      <c r="H602" t="inlineStr">
        <is>
          <t>seed_codex_amazon_sde</t>
        </is>
      </c>
      <c r="I602" t="inlineStr">
        <is>
          <t>Amazon SDE</t>
        </is>
      </c>
      <c r="J602" t="inlineStr">
        <is>
          <t>amazon_platform_mainline</t>
        </is>
      </c>
      <c r="K602" t="inlineStr">
        <is>
          <t>mainline</t>
        </is>
      </c>
      <c r="L602"/>
      <c r="M602"/>
      <c r="N602">
        <v>93.9</v>
      </c>
      <c r="O602" t="inlineStr">
        <is>
          <t>pass</t>
        </is>
      </c>
      <c r="P602">
        <f>HYPERLINK("file:///Users/jingyizhang/Documents/Playground/projects/local_job_resume_pipeline/data/deliverables/resume_portfolio/by_company/vercel/2026-04-03/69979140e0bddb6acac6411d/resume.md","/Users/jingyizhang/Documents/Playground/projects/local_job_resume_pipeline/data/deliverables/resume_portfolio/by_company/vercel/2026-04-03/69979140e0bddb6acac6411d/resume.md")</f>
      </c>
      <c r="Q602"/>
      <c r="R602">
        <f>HYPERLINK("https://boards.greenhouse.io/embed/job_app?token=5808568004&amp;utm_source=jobright","https://boards.greenhouse.io/embed/job_app?token=5808568004&amp;utm_source=jobright")</f>
      </c>
    </row>
    <row r="603">
      <c r="A603" t="inlineStr">
        <is>
          <t>Brooksource</t>
        </is>
      </c>
      <c r="B603" t="inlineStr">
        <is>
          <t>2026-04-03 11:30:22</t>
        </is>
      </c>
      <c r="C603" t="inlineStr">
        <is>
          <t>69cfeb1e0b098b7a67074928</t>
        </is>
      </c>
      <c r="D603" t="inlineStr">
        <is>
          <t>Junior Software Engineer</t>
        </is>
      </c>
      <c r="E603" t="inlineStr">
        <is>
          <t>1_Discovered</t>
        </is>
      </c>
      <c r="F603" t="inlineStr">
        <is>
          <t>fanout_batch</t>
        </is>
      </c>
      <c r="G603" t="inlineStr">
        <is>
          <t>reuse</t>
        </is>
      </c>
      <c r="H603" t="inlineStr">
        <is>
          <t>seed_paypal_java_backend</t>
        </is>
      </c>
      <c r="I603" t="inlineStr">
        <is>
          <t>PayPal Java Backend</t>
        </is>
      </c>
      <c r="J603"/>
      <c r="K603"/>
      <c r="L603"/>
      <c r="M603"/>
      <c r="N603"/>
      <c r="O603"/>
      <c r="P603"/>
      <c r="Q603"/>
      <c r="R603">
        <f>HYPERLINK("https://www.linkedin.com/jobs/view/4393876483","https://www.linkedin.com/jobs/view/4393876483")</f>
      </c>
    </row>
    <row r="604">
      <c r="A604" t="inlineStr">
        <is>
          <t>MSCI Inc.</t>
        </is>
      </c>
      <c r="B604" t="inlineStr">
        <is>
          <t>2026-04-03 11:29:36</t>
        </is>
      </c>
      <c r="C604" t="inlineStr">
        <is>
          <t>6996555981476f6176ae1e6d</t>
        </is>
      </c>
      <c r="D604" t="inlineStr">
        <is>
          <t>Data Technology DMX Liquidity Data Engineer</t>
        </is>
      </c>
      <c r="E604" t="inlineStr">
        <is>
          <t>1_Discovered</t>
        </is>
      </c>
      <c r="F604" t="inlineStr">
        <is>
          <t>fanout_batch</t>
        </is>
      </c>
      <c r="G604" t="inlineStr">
        <is>
          <t>retarget</t>
        </is>
      </c>
      <c r="H604" t="inlineStr">
        <is>
          <t>seed_jpmc_data_mlops_anchor</t>
        </is>
      </c>
      <c r="I604" t="inlineStr">
        <is>
          <t>JPMorganChase Data Platform/MLOps Anchor</t>
        </is>
      </c>
      <c r="J604" t="inlineStr">
        <is>
          <t>jpmc_data_mlops_mainline</t>
        </is>
      </c>
      <c r="K604" t="inlineStr">
        <is>
          <t>mainline</t>
        </is>
      </c>
      <c r="L604"/>
      <c r="M604"/>
      <c r="N604">
        <v>95.8</v>
      </c>
      <c r="O604" t="inlineStr">
        <is>
          <t>pass</t>
        </is>
      </c>
      <c r="P604">
        <f>HYPERLINK("file:///Users/jingyizhang/Documents/Playground/projects/local_job_resume_pipeline/data/deliverables/resume_portfolio/by_company/msci-inc/2026-04-03/6996555981476f6176ae1e6d/resume.md","/Users/jingyizhang/Documents/Playground/projects/local_job_resume_pipeline/data/deliverables/resume_portfolio/by_company/msci-inc/2026-04-03/6996555981476f6176ae1e6d/resume.md")</f>
      </c>
      <c r="Q604"/>
      <c r="R604">
        <f>HYPERLINK("https://careers.msci.com/job/data-and-operations/norman/data-technology-dmx-liquidity-data-engineer/2026-4821?mode=apply&amp;iis=LinkedIn","https://careers.msci.com/job/data-and-operations/norman/data-technology-dmx-liquidity-data-engineer/2026-4821?mode=apply&amp;iis=LinkedIn")</f>
      </c>
    </row>
    <row r="605">
      <c r="A605" t="inlineStr">
        <is>
          <t>Amazon Web Services (AWS)</t>
        </is>
      </c>
      <c r="B605" t="inlineStr">
        <is>
          <t>2026-04-03 11:29:19</t>
        </is>
      </c>
      <c r="C605" t="inlineStr">
        <is>
          <t>69b3676da8ac8e70ff679ea4</t>
        </is>
      </c>
      <c r="D605" t="inlineStr">
        <is>
          <t>Machine Learning Scientist - GenAI, KIT</t>
        </is>
      </c>
      <c r="E605" t="inlineStr">
        <is>
          <t>1_Discovered</t>
        </is>
      </c>
      <c r="F605" t="inlineStr">
        <is>
          <t>fanout_batch</t>
        </is>
      </c>
      <c r="G605" t="inlineStr">
        <is>
          <t>retarget</t>
        </is>
      </c>
      <c r="H605" t="inlineStr">
        <is>
          <t>seed_bytedance_ml_grad</t>
        </is>
      </c>
      <c r="I605" t="inlineStr">
        <is>
          <t>ByteDance ML Grad</t>
        </is>
      </c>
      <c r="J605"/>
      <c r="K605"/>
      <c r="L605"/>
      <c r="M605"/>
      <c r="N605">
        <v>93.8</v>
      </c>
      <c r="O605" t="inlineStr">
        <is>
          <t>pass</t>
        </is>
      </c>
      <c r="P605">
        <f>HYPERLINK("file:///Users/jingyizhang/Documents/Playground/projects/local_job_resume_pipeline/data/deliverables/resume_portfolio/by_company/amazon-web-services-aws/2026-04-03/69b3676da8ac8e70ff679ea4/resume.md","/Users/jingyizhang/Documents/Playground/projects/local_job_resume_pipeline/data/deliverables/resume_portfolio/by_company/amazon-web-services-aws/2026-04-03/69b3676da8ac8e70ff679ea4/resume.md")</f>
      </c>
      <c r="Q605"/>
      <c r="R605">
        <f>HYPERLINK("https://www.amazon.jobs/jobs/3203410/machine-learning-scientist--genai-kit?cmpid=SPLICX0248M&amp;utm_source=linkedin.com&amp;utm_campaign=cxro&amp;utm_medium=social_media&amp;utm_content=job_posting&amp;ss=paid","https://www.amazon.jobs/jobs/3203410/machine-learning-scientist--genai-kit?cmpid=SPLICX0248M&amp;utm_source=linkedin.com&amp;utm_campaign=cxro&amp;utm_medium=social_media&amp;utm_content=job_posting&amp;ss=paid")</f>
      </c>
    </row>
    <row r="606">
      <c r="A606" t="inlineStr">
        <is>
          <t>Amazon Web Services (AWS)</t>
        </is>
      </c>
      <c r="B606" t="inlineStr">
        <is>
          <t>2026-04-03 11:28:56</t>
        </is>
      </c>
      <c r="C606" t="inlineStr">
        <is>
          <t>697c23560b88cc7d6423284a</t>
        </is>
      </c>
      <c r="D606" t="inlineStr">
        <is>
          <t>Software Development Engineer, Aurora DSQL</t>
        </is>
      </c>
      <c r="E606" t="inlineStr">
        <is>
          <t>1_Discovered</t>
        </is>
      </c>
      <c r="F606" t="inlineStr">
        <is>
          <t>seed_validation</t>
        </is>
      </c>
      <c r="G606" t="inlineStr">
        <is>
          <t>reuse</t>
        </is>
      </c>
      <c r="H606" t="inlineStr">
        <is>
          <t>seed_codex_google_fullstack</t>
        </is>
      </c>
      <c r="I606" t="inlineStr">
        <is>
          <t>Google Full Stack</t>
        </is>
      </c>
      <c r="J606" t="inlineStr">
        <is>
          <t>google_product_ai_mainline</t>
        </is>
      </c>
      <c r="K606" t="inlineStr">
        <is>
          <t>mainline</t>
        </is>
      </c>
      <c r="L606"/>
      <c r="M606"/>
      <c r="N606"/>
      <c r="O606"/>
      <c r="P606"/>
      <c r="Q606"/>
      <c r="R606">
        <f>HYPERLINK("https://www.amazon.jobs/jobs/3169650/software-development-engineer-aurora-dsql?cmpid=SPLICX0248M&amp;utm_source=linkedin.com&amp;utm_campaign=cxro&amp;utm_medium=social_media&amp;utm_content=job_posting&amp;ss=paid","https://www.amazon.jobs/jobs/3169650/software-development-engineer-aurora-dsql?cmpid=SPLICX0248M&amp;utm_source=linkedin.com&amp;utm_campaign=cxro&amp;utm_medium=social_media&amp;utm_content=job_posting&amp;ss=paid")</f>
      </c>
    </row>
    <row r="607">
      <c r="A607" t="inlineStr">
        <is>
          <t>Brex</t>
        </is>
      </c>
      <c r="B607" t="inlineStr">
        <is>
          <t>2026-04-03 11:24:23</t>
        </is>
      </c>
      <c r="C607" t="inlineStr">
        <is>
          <t>692f6457ef4b48533d144d7f</t>
        </is>
      </c>
      <c r="D607" t="inlineStr">
        <is>
          <t>Software Engineer II, Product</t>
        </is>
      </c>
      <c r="E607" t="inlineStr">
        <is>
          <t>1_Discovered</t>
        </is>
      </c>
      <c r="F607" t="inlineStr">
        <is>
          <t>seed_validation</t>
        </is>
      </c>
      <c r="G607" t="inlineStr">
        <is>
          <t>retarget</t>
        </is>
      </c>
      <c r="H607" t="inlineStr">
        <is>
          <t>seed_harbourvest_backend_data</t>
        </is>
      </c>
      <c r="I607" t="inlineStr">
        <is>
          <t>HarbourVest Backend Data</t>
        </is>
      </c>
      <c r="J607"/>
      <c r="K607"/>
      <c r="L607"/>
      <c r="M607"/>
      <c r="N607">
        <v>93.7</v>
      </c>
      <c r="O607" t="inlineStr">
        <is>
          <t>pass</t>
        </is>
      </c>
      <c r="P607">
        <f>HYPERLINK("file:///Users/jingyizhang/Documents/Playground/projects/local_job_resume_pipeline/data/deliverables/resume_portfolio/by_company/brex/2026-04-03/692f6457ef4b48533d144d7f/resume.md","/Users/jingyizhang/Documents/Playground/projects/local_job_resume_pipeline/data/deliverables/resume_portfolio/by_company/brex/2026-04-03/692f6457ef4b48533d144d7f/resume.md")</f>
      </c>
      <c r="Q607"/>
      <c r="R607">
        <f>HYPERLINK("https://boards.greenhouse.io/embed/job_app?token=8318332002&amp;utm_source=jobright","https://boards.greenhouse.io/embed/job_app?token=8318332002&amp;utm_source=jobright")</f>
      </c>
    </row>
    <row r="608">
      <c r="A608" t="inlineStr">
        <is>
          <t>GiveCampus</t>
        </is>
      </c>
      <c r="B608" t="inlineStr">
        <is>
          <t>2026-04-03 11:24:18</t>
        </is>
      </c>
      <c r="C608" t="inlineStr">
        <is>
          <t>69cfe9b2891d7b11cfcd6b4c</t>
        </is>
      </c>
      <c r="D608" t="inlineStr">
        <is>
          <t>Frontier Software Engineer</t>
        </is>
      </c>
      <c r="E608" t="inlineStr">
        <is>
          <t>1_Discovered</t>
        </is>
      </c>
      <c r="F608" t="inlineStr">
        <is>
          <t>fanout_batch</t>
        </is>
      </c>
      <c r="G608" t="inlineStr">
        <is>
          <t>retarget</t>
        </is>
      </c>
      <c r="H608" t="inlineStr">
        <is>
          <t>seed_egen_fullstack_node</t>
        </is>
      </c>
      <c r="I608" t="inlineStr">
        <is>
          <t>Egen Fullstack Node</t>
        </is>
      </c>
      <c r="J608"/>
      <c r="K608"/>
      <c r="L608"/>
      <c r="M608"/>
      <c r="N608">
        <v>93.6</v>
      </c>
      <c r="O608" t="inlineStr">
        <is>
          <t>pass</t>
        </is>
      </c>
      <c r="P608">
        <f>HYPERLINK("file:///Users/jingyizhang/Documents/Playground/projects/local_job_resume_pipeline/data/deliverables/resume_portfolio/by_company/givecampus/2026-04-03/69cfe9b2891d7b11cfcd6b4c/resume.md","/Users/jingyizhang/Documents/Playground/projects/local_job_resume_pipeline/data/deliverables/resume_portfolio/by_company/givecampus/2026-04-03/69cfe9b2891d7b11cfcd6b4c/resume.md")</f>
      </c>
      <c r="Q608"/>
      <c r="R608">
        <f>HYPERLINK("https://boards.greenhouse.io/embed/job_app?token=4200514009&amp;utm_source=jobright","https://boards.greenhouse.io/embed/job_app?token=4200514009&amp;utm_source=jobright")</f>
      </c>
    </row>
    <row r="609">
      <c r="A609" t="inlineStr">
        <is>
          <t>Cresta</t>
        </is>
      </c>
      <c r="B609" t="inlineStr">
        <is>
          <t>2026-04-03 11:23:45</t>
        </is>
      </c>
      <c r="C609" t="inlineStr">
        <is>
          <t>698e867a78b4502f12a55d92</t>
        </is>
      </c>
      <c r="D609" t="inlineStr">
        <is>
          <t>Applied Data Scientist</t>
        </is>
      </c>
      <c r="E609" t="inlineStr">
        <is>
          <t>1_Discovered</t>
        </is>
      </c>
      <c r="F609" t="inlineStr">
        <is>
          <t>fanout_batch</t>
        </is>
      </c>
      <c r="G609" t="inlineStr">
        <is>
          <t>retarget</t>
        </is>
      </c>
      <c r="H609" t="inlineStr">
        <is>
          <t>seed_linkedin_mle_foundation</t>
        </is>
      </c>
      <c r="I609" t="inlineStr">
        <is>
          <t>LinkedIn MLE Foundation</t>
        </is>
      </c>
      <c r="J609"/>
      <c r="K609"/>
      <c r="L609"/>
      <c r="M609"/>
      <c r="N609">
        <v>94.4</v>
      </c>
      <c r="O609" t="inlineStr">
        <is>
          <t>pass</t>
        </is>
      </c>
      <c r="P609">
        <f>HYPERLINK("file:///Users/jingyizhang/Documents/Playground/projects/local_job_resume_pipeline/data/deliverables/resume_portfolio/by_company/cresta/2026-04-03/698e867a78b4502f12a55d92/resume.md","/Users/jingyizhang/Documents/Playground/projects/local_job_resume_pipeline/data/deliverables/resume_portfolio/by_company/cresta/2026-04-03/698e867a78b4502f12a55d92/resume.md")</f>
      </c>
      <c r="Q609"/>
      <c r="R609">
        <f>HYPERLINK("https://boards.greenhouse.io/embed/job_app?token=5119706008&amp;utm_source=jobright","https://boards.greenhouse.io/embed/job_app?token=5119706008&amp;utm_source=jobright")</f>
      </c>
    </row>
    <row r="610">
      <c r="A610" t="inlineStr">
        <is>
          <t>Aderant</t>
        </is>
      </c>
      <c r="B610" t="inlineStr">
        <is>
          <t>2026-04-03 11:19:25</t>
        </is>
      </c>
      <c r="C610" t="inlineStr">
        <is>
          <t>69cfe88d891d7b11cfcd6b08</t>
        </is>
      </c>
      <c r="D610" t="inlineStr">
        <is>
          <t>Data Engineer</t>
        </is>
      </c>
      <c r="E610" t="inlineStr">
        <is>
          <t>1_Discovered</t>
        </is>
      </c>
      <c r="F610" t="inlineStr">
        <is>
          <t>fanout_batch</t>
        </is>
      </c>
      <c r="G610" t="inlineStr">
        <is>
          <t>retarget</t>
        </is>
      </c>
      <c r="H610" t="inlineStr">
        <is>
          <t>seed_jpmc_data_mlops_anchor</t>
        </is>
      </c>
      <c r="I610" t="inlineStr">
        <is>
          <t>JPMorganChase Data Platform/MLOps Anchor</t>
        </is>
      </c>
      <c r="J610" t="inlineStr">
        <is>
          <t>jpmc_data_mlops_mainline</t>
        </is>
      </c>
      <c r="K610" t="inlineStr">
        <is>
          <t>mainline</t>
        </is>
      </c>
      <c r="L610"/>
      <c r="M610"/>
      <c r="N610">
        <v>95.7</v>
      </c>
      <c r="O610" t="inlineStr">
        <is>
          <t>pass</t>
        </is>
      </c>
      <c r="P610">
        <f>HYPERLINK("file:///Users/jingyizhang/Documents/Playground/projects/local_job_resume_pipeline/data/deliverables/resume_portfolio/by_company/aderant/2026-04-03/69cfe88d891d7b11cfcd6b08/resume.md","/Users/jingyizhang/Documents/Playground/projects/local_job_resume_pipeline/data/deliverables/resume_portfolio/by_company/aderant/2026-04-03/69cfe88d891d7b11cfcd6b08/resume.md")</f>
      </c>
      <c r="Q610"/>
      <c r="R610">
        <f>HYPERLINK("https://aderant.wd5.myworkdayjobs.com/Aderant_External_Careers/job/Atlanta-Georgia/Data-Engineer_REQ_100000254?source=LinkedIn","https://aderant.wd5.myworkdayjobs.com/Aderant_External_Careers/job/Atlanta-Georgia/Data-Engineer_REQ_100000254?source=LinkedIn")</f>
      </c>
    </row>
    <row r="611">
      <c r="A611" t="inlineStr">
        <is>
          <t>Infojini Inc</t>
        </is>
      </c>
      <c r="B611" t="inlineStr">
        <is>
          <t>2026-04-03 11:18:38</t>
        </is>
      </c>
      <c r="C611" t="inlineStr">
        <is>
          <t>69cfe85e366bb95ba55197d9</t>
        </is>
      </c>
      <c r="D611" t="inlineStr">
        <is>
          <t>Data Scientist (Full-Time Role)</t>
        </is>
      </c>
      <c r="E611" t="inlineStr">
        <is>
          <t>1_Discovered</t>
        </is>
      </c>
      <c r="F611" t="inlineStr">
        <is>
          <t>fanout_batch</t>
        </is>
      </c>
      <c r="G611" t="inlineStr">
        <is>
          <t>retarget</t>
        </is>
      </c>
      <c r="H611" t="inlineStr">
        <is>
          <t>seed_jpmc_data_mlops_anchor</t>
        </is>
      </c>
      <c r="I611" t="inlineStr">
        <is>
          <t>JPMorganChase Data Platform/MLOps Anchor</t>
        </is>
      </c>
      <c r="J611" t="inlineStr">
        <is>
          <t>jpmc_data_mlops_mainline</t>
        </is>
      </c>
      <c r="K611" t="inlineStr">
        <is>
          <t>mainline</t>
        </is>
      </c>
      <c r="L611"/>
      <c r="M611"/>
      <c r="N611">
        <v>95.1</v>
      </c>
      <c r="O611" t="inlineStr">
        <is>
          <t>pass</t>
        </is>
      </c>
      <c r="P611">
        <f>HYPERLINK("file:///Users/jingyizhang/Documents/Playground/projects/local_job_resume_pipeline/data/deliverables/resume_portfolio/by_company/infojini-inc/2026-04-03/69cfe85e366bb95ba55197d9/resume.md","/Users/jingyizhang/Documents/Playground/projects/local_job_resume_pipeline/data/deliverables/resume_portfolio/by_company/infojini-inc/2026-04-03/69cfe85e366bb95ba55197d9/resume.md")</f>
      </c>
      <c r="Q611"/>
      <c r="R611">
        <f>HYPERLINK("https://www.linkedin.com/jobs/view/4397310425","https://www.linkedin.com/jobs/view/4397310425")</f>
      </c>
    </row>
    <row r="612">
      <c r="A612" t="inlineStr">
        <is>
          <t>Cohere</t>
        </is>
      </c>
      <c r="B612" t="inlineStr">
        <is>
          <t>2026-04-03 11:16:47</t>
        </is>
      </c>
      <c r="C612" t="inlineStr">
        <is>
          <t>69278675d47de4798ecde00b</t>
        </is>
      </c>
      <c r="D612" t="inlineStr">
        <is>
          <t>Member of Technical Staff, Synthetic Data</t>
        </is>
      </c>
      <c r="E612" t="inlineStr">
        <is>
          <t>1_Discovered</t>
        </is>
      </c>
      <c r="F612" t="inlineStr">
        <is>
          <t>fanout_batch</t>
        </is>
      </c>
      <c r="G612" t="inlineStr">
        <is>
          <t>retarget</t>
        </is>
      </c>
      <c r="H612" t="inlineStr">
        <is>
          <t>seed_qualified_health_data_engineer</t>
        </is>
      </c>
      <c r="I612" t="inlineStr">
        <is>
          <t>Qualified Health Data Engineer</t>
        </is>
      </c>
      <c r="J612"/>
      <c r="K612"/>
      <c r="L612"/>
      <c r="M612"/>
      <c r="N612">
        <v>93.0</v>
      </c>
      <c r="O612" t="inlineStr">
        <is>
          <t>pass</t>
        </is>
      </c>
      <c r="P612">
        <f>HYPERLINK("file:///Users/jingyizhang/Documents/Playground/projects/local_job_resume_pipeline/data/deliverables/resume_portfolio/by_company/cohere/2026-04-03/69278675d47de4798ecde00b/resume.md","/Users/jingyizhang/Documents/Playground/projects/local_job_resume_pipeline/data/deliverables/resume_portfolio/by_company/cohere/2026-04-03/69278675d47de4798ecde00b/resume.md")</f>
      </c>
      <c r="Q612"/>
      <c r="R612">
        <f>HYPERLINK("https://jobs.ashbyhq.com/cohere/2df2da3c-fb69-4d4d-b3c9-077b3df2ba3d?utm_source=jKNDxYPz51","https://jobs.ashbyhq.com/cohere/2df2da3c-fb69-4d4d-b3c9-077b3df2ba3d?utm_source=jKNDxYPz51")</f>
      </c>
    </row>
    <row r="613">
      <c r="A613" t="inlineStr">
        <is>
          <t>Amazon Web Services (AWS)</t>
        </is>
      </c>
      <c r="B613" t="inlineStr">
        <is>
          <t>2026-04-03 11:16:32</t>
        </is>
      </c>
      <c r="C613" t="inlineStr">
        <is>
          <t>6997d181ce78e77b4fdc3d29</t>
        </is>
      </c>
      <c r="D613" t="inlineStr">
        <is>
          <t>Software Development Engineer, ML Systems, Annapurna Labs</t>
        </is>
      </c>
      <c r="E613" t="inlineStr">
        <is>
          <t>1_Discovered</t>
        </is>
      </c>
      <c r="F613" t="inlineStr">
        <is>
          <t>retarget_trial</t>
        </is>
      </c>
      <c r="G613" t="inlineStr">
        <is>
          <t>new_seed</t>
        </is>
      </c>
      <c r="H613" t="inlineStr">
        <is>
          <t>seed_aws_agentic_ai_anchor</t>
        </is>
      </c>
      <c r="I613" t="inlineStr">
        <is>
          <t>AWS Agentic AI Anchor</t>
        </is>
      </c>
      <c r="J613"/>
      <c r="K613"/>
      <c r="L613"/>
      <c r="M613"/>
      <c r="N613">
        <v>94.5</v>
      </c>
      <c r="O613" t="inlineStr">
        <is>
          <t>pass</t>
        </is>
      </c>
      <c r="P613">
        <f>HYPERLINK("file:///Users/jingyizhang/Documents/Playground/projects/local_job_resume_pipeline/data/deliverables/resume_portfolio/by_company/amazon-web-services-aws/2026-04-03/6997d181ce78e77b4fdc3d29/resume.md","/Users/jingyizhang/Documents/Playground/projects/local_job_resume_pipeline/data/deliverables/resume_portfolio/by_company/amazon-web-services-aws/2026-04-03/6997d181ce78e77b4fdc3d29/resume.md")</f>
      </c>
      <c r="Q613"/>
      <c r="R613">
        <f>HYPERLINK("https://www.amazon.jobs/jobs/3185336/software-development-engineer-ml-systems-annapurna-labs?cmpid=SPLICX0248M&amp;utm_source=linkedin.com&amp;utm_campaign=cxro&amp;utm_medium=social_media&amp;utm_content=job_posting&amp;ss=paid","https://www.amazon.jobs/jobs/3185336/software-development-engineer-ml-systems-annapurna-labs?cmpid=SPLICX0248M&amp;utm_source=linkedin.com&amp;utm_campaign=cxro&amp;utm_medium=social_media&amp;utm_content=job_posting&amp;ss=paid")</f>
      </c>
    </row>
    <row r="614">
      <c r="A614" t="inlineStr">
        <is>
          <t>Appian</t>
        </is>
      </c>
      <c r="B614" t="inlineStr">
        <is>
          <t>2026-04-03 11:07:50</t>
        </is>
      </c>
      <c r="C614" t="inlineStr">
        <is>
          <t>69c4e578d5a1016e98dc540d</t>
        </is>
      </c>
      <c r="D614" t="inlineStr">
        <is>
          <t>Associate Solution Engineer</t>
        </is>
      </c>
      <c r="E614" t="inlineStr">
        <is>
          <t>1_Discovered</t>
        </is>
      </c>
      <c r="F614" t="inlineStr">
        <is>
          <t>fanout_batch</t>
        </is>
      </c>
      <c r="G614" t="inlineStr">
        <is>
          <t>retarget</t>
        </is>
      </c>
      <c r="H614" t="inlineStr">
        <is>
          <t>seed_h2o_ai_engineer</t>
        </is>
      </c>
      <c r="I614" t="inlineStr">
        <is>
          <t>H2O AI Engineer</t>
        </is>
      </c>
      <c r="J614"/>
      <c r="K614"/>
      <c r="L614"/>
      <c r="M614"/>
      <c r="N614">
        <v>93.9</v>
      </c>
      <c r="O614" t="inlineStr">
        <is>
          <t>pass</t>
        </is>
      </c>
      <c r="P614">
        <f>HYPERLINK("file:///Users/jingyizhang/Documents/Playground/projects/local_job_resume_pipeline/data/deliverables/resume_portfolio/by_company/appian/2026-04-03/69c4e578d5a1016e98dc540d/resume.md","/Users/jingyizhang/Documents/Playground/projects/local_job_resume_pipeline/data/deliverables/resume_portfolio/by_company/appian/2026-04-03/69c4e578d5a1016e98dc540d/resume.md")</f>
      </c>
      <c r="Q614"/>
      <c r="R614">
        <f>HYPERLINK("https://www.linkedin.com/jobs/view/4370450635","https://www.linkedin.com/jobs/view/4370450635")</f>
      </c>
    </row>
    <row r="615">
      <c r="A615" t="inlineStr">
        <is>
          <t>Vizient, Inc</t>
        </is>
      </c>
      <c r="B615" t="inlineStr">
        <is>
          <t>2026-04-03 11:02:10</t>
        </is>
      </c>
      <c r="C615" t="inlineStr">
        <is>
          <t>69cfe482cdb525785fba56c3</t>
        </is>
      </c>
      <c r="D615" t="inlineStr">
        <is>
          <t>Data Scientist</t>
        </is>
      </c>
      <c r="E615" t="inlineStr">
        <is>
          <t>1_Discovered</t>
        </is>
      </c>
      <c r="F615" t="inlineStr">
        <is>
          <t>fanout_batch</t>
        </is>
      </c>
      <c r="G615" t="inlineStr">
        <is>
          <t>reuse</t>
        </is>
      </c>
      <c r="H615" t="inlineStr">
        <is>
          <t>seed_plaid_data_scientist</t>
        </is>
      </c>
      <c r="I615" t="inlineStr">
        <is>
          <t>Plaid Data Scientist</t>
        </is>
      </c>
      <c r="J615"/>
      <c r="K615"/>
      <c r="L615"/>
      <c r="M615"/>
      <c r="N615"/>
      <c r="O615"/>
      <c r="P615"/>
      <c r="Q615"/>
      <c r="R615">
        <f>HYPERLINK("https://vizient.wd1.myworkdayjobs.com/vizient_careers/job/Chicago-IL-60607/Data-Scientist_32967R","https://vizient.wd1.myworkdayjobs.com/vizient_careers/job/Chicago-IL-60607/Data-Scientist_32967R")</f>
      </c>
    </row>
    <row r="616">
      <c r="A616" t="inlineStr">
        <is>
          <t>Harbor</t>
        </is>
      </c>
      <c r="B616" t="inlineStr">
        <is>
          <t>2026-04-03 11:01:16</t>
        </is>
      </c>
      <c r="C616" t="inlineStr">
        <is>
          <t>69cfe44c891d7b11cfcd68f4</t>
        </is>
      </c>
      <c r="D616" t="inlineStr">
        <is>
          <t>Azure Developer</t>
        </is>
      </c>
      <c r="E616" t="inlineStr">
        <is>
          <t>1_Discovered</t>
        </is>
      </c>
      <c r="F616" t="inlineStr">
        <is>
          <t>fanout_batch</t>
        </is>
      </c>
      <c r="G616" t="inlineStr">
        <is>
          <t>retarget</t>
        </is>
      </c>
      <c r="H616" t="inlineStr">
        <is>
          <t>seed_generalist_dotnet_enterprise</t>
        </is>
      </c>
      <c r="I616" t="inlineStr">
        <is>
          <t>Generalist DotNet Enterprise</t>
        </is>
      </c>
      <c r="J616"/>
      <c r="K616"/>
      <c r="L616"/>
      <c r="M616"/>
      <c r="N616">
        <v>94.7</v>
      </c>
      <c r="O616" t="inlineStr">
        <is>
          <t>pass</t>
        </is>
      </c>
      <c r="P616">
        <f>HYPERLINK("file:///Users/jingyizhang/Documents/Playground/projects/local_job_resume_pipeline/data/deliverables/resume_portfolio/by_company/harbor/2026-04-03/69cfe44c891d7b11cfcd68f4/resume.md","/Users/jingyizhang/Documents/Playground/projects/local_job_resume_pipeline/data/deliverables/resume_portfolio/by_company/harbor/2026-04-03/69cfe44c891d7b11cfcd68f4/resume.md")</f>
      </c>
      <c r="Q616"/>
      <c r="R616">
        <f>HYPERLINK("https://harborglobal.com/careers/jobs/azure-developer-5089906007/","https://harborglobal.com/careers/jobs/azure-developer-5089906007/")</f>
      </c>
    </row>
    <row r="617">
      <c r="A617" t="inlineStr">
        <is>
          <t>Lone Pine Capital LLC</t>
        </is>
      </c>
      <c r="B617" t="inlineStr">
        <is>
          <t>2026-04-03 10:59:53</t>
        </is>
      </c>
      <c r="C617" t="inlineStr">
        <is>
          <t>69b327d2ae2a534885ea8a38</t>
        </is>
      </c>
      <c r="D617" t="inlineStr">
        <is>
          <t>Associate, Developer</t>
        </is>
      </c>
      <c r="E617" t="inlineStr">
        <is>
          <t>1_Discovered</t>
        </is>
      </c>
      <c r="F617" t="inlineStr">
        <is>
          <t>fanout_batch</t>
        </is>
      </c>
      <c r="G617" t="inlineStr">
        <is>
          <t>retarget</t>
        </is>
      </c>
      <c r="H617" t="inlineStr">
        <is>
          <t>seed_fireblocks_sre_anchor</t>
        </is>
      </c>
      <c r="I617" t="inlineStr">
        <is>
          <t>Fireblocks SRE Anchor</t>
        </is>
      </c>
      <c r="J617"/>
      <c r="K617"/>
      <c r="L617"/>
      <c r="M617"/>
      <c r="N617">
        <v>95.0</v>
      </c>
      <c r="O617" t="inlineStr">
        <is>
          <t>pass</t>
        </is>
      </c>
      <c r="P617">
        <f>HYPERLINK("file:///Users/jingyizhang/Documents/Playground/projects/local_job_resume_pipeline/data/deliverables/resume_portfolio/by_company/lone-pine-capital-llc/2026-04-03/69b327d2ae2a534885ea8a38/resume.md","/Users/jingyizhang/Documents/Playground/projects/local_job_resume_pipeline/data/deliverables/resume_portfolio/by_company/lone-pine-capital-llc/2026-04-03/69b327d2ae2a534885ea8a38/resume.md")</f>
      </c>
      <c r="Q617"/>
      <c r="R617">
        <f>HYPERLINK("https://boards.greenhouse.io/embed/job_app?token=5152300008&amp;utm_source=jobright","https://boards.greenhouse.io/embed/job_app?token=5152300008&amp;utm_source=jobright")</f>
      </c>
    </row>
    <row r="618">
      <c r="A618" t="inlineStr">
        <is>
          <t>Charles Schwab</t>
        </is>
      </c>
      <c r="B618" t="inlineStr">
        <is>
          <t>2026-04-03 10:42:17</t>
        </is>
      </c>
      <c r="C618" t="inlineStr">
        <is>
          <t>69cfdfd9cfdc6132f9436518</t>
        </is>
      </c>
      <c r="D618" t="inlineStr">
        <is>
          <t>Java Developer - Workplace Services Engineering</t>
        </is>
      </c>
      <c r="E618" t="inlineStr">
        <is>
          <t>1_Discovered</t>
        </is>
      </c>
      <c r="F618" t="inlineStr">
        <is>
          <t>seed_source</t>
        </is>
      </c>
      <c r="G618" t="inlineStr">
        <is>
          <t>seed_source</t>
        </is>
      </c>
      <c r="H618" t="inlineStr">
        <is>
          <t>seed_backend_java_spring_api</t>
        </is>
      </c>
      <c r="I618" t="inlineStr">
        <is>
          <t>Backend Java Spring API</t>
        </is>
      </c>
      <c r="J618"/>
      <c r="K618"/>
      <c r="L618"/>
      <c r="M618"/>
      <c r="N618">
        <v>94.3</v>
      </c>
      <c r="O618" t="inlineStr">
        <is>
          <t>pass</t>
        </is>
      </c>
      <c r="P618">
        <f>HYPERLINK("file:///Users/jingyizhang/Documents/Playground/projects/local_job_resume_pipeline/data/deliverables/resume_portfolio/by_company/charles-schwab/2026-04-03/69cfdfd9cfdc6132f9436518/resume.md","/Users/jingyizhang/Documents/Playground/projects/local_job_resume_pipeline/data/deliverables/resume_portfolio/by_company/charles-schwab/2026-04-03/69cfdfd9cfdc6132f9436518/resume.md")</f>
      </c>
      <c r="Q618"/>
      <c r="R618">
        <f>HYPERLINK("https://www.schwabjobs.com/job/-/-/33727/93511007184?iis=jobright&amp;iisn=jobright&amp;utm_source=jobright&amp;utm_medium=job_posting&amp;utm_campaign=Annual_Media&amp;utm_content=social_media&amp;utm_term=383638107&amp;ss=paid","https://www.schwabjobs.com/job/-/-/33727/93511007184?iis=jobright&amp;iisn=jobright&amp;utm_source=jobright&amp;utm_medium=job_posting&amp;utm_campaign=Annual_Media&amp;utm_content=social_media&amp;utm_term=383638107&amp;ss=paid")</f>
      </c>
    </row>
    <row r="619">
      <c r="A619" t="inlineStr">
        <is>
          <t>OneMagnify</t>
        </is>
      </c>
      <c r="B619" t="inlineStr">
        <is>
          <t>2026-04-03 10:39:50</t>
        </is>
      </c>
      <c r="C619" t="inlineStr">
        <is>
          <t>697aa65af6fc293b0a2c8f2d</t>
        </is>
      </c>
      <c r="D619" t="inlineStr">
        <is>
          <t>AI Engineer</t>
        </is>
      </c>
      <c r="E619" t="inlineStr">
        <is>
          <t>1_Discovered</t>
        </is>
      </c>
      <c r="F619" t="inlineStr">
        <is>
          <t>fanout_batch</t>
        </is>
      </c>
      <c r="G619" t="inlineStr">
        <is>
          <t>retarget</t>
        </is>
      </c>
      <c r="H619" t="inlineStr">
        <is>
          <t>seed_h2o_ai_engineer</t>
        </is>
      </c>
      <c r="I619" t="inlineStr">
        <is>
          <t>H2O AI Engineer</t>
        </is>
      </c>
      <c r="J619"/>
      <c r="K619"/>
      <c r="L619"/>
      <c r="M619"/>
      <c r="N619">
        <v>94.4</v>
      </c>
      <c r="O619" t="inlineStr">
        <is>
          <t>pass</t>
        </is>
      </c>
      <c r="P619">
        <f>HYPERLINK("file:///Users/jingyizhang/Documents/Playground/projects/local_job_resume_pipeline/data/deliverables/resume_portfolio/by_company/onemagnify/2026-04-03/697aa65af6fc293b0a2c8f2d/resume.md","/Users/jingyizhang/Documents/Playground/projects/local_job_resume_pipeline/data/deliverables/resume_portfolio/by_company/onemagnify/2026-04-03/697aa65af6fc293b0a2c8f2d/resume.md")</f>
      </c>
      <c r="Q619"/>
      <c r="R619">
        <f>HYPERLINK("https://onemagnify.wd5.myworkdayjobs.com/OneMagnify_Careers/job/Remote/AI-Engineer_R1995?source=LinkedIn","https://onemagnify.wd5.myworkdayjobs.com/OneMagnify_Careers/job/Remote/AI-Engineer_R1995?source=LinkedIn")</f>
      </c>
    </row>
    <row r="620">
      <c r="A620" t="inlineStr">
        <is>
          <t>HealthPartners</t>
        </is>
      </c>
      <c r="B620" t="inlineStr">
        <is>
          <t>2026-04-03 10:36:20</t>
        </is>
      </c>
      <c r="C620" t="inlineStr">
        <is>
          <t>69cfde74366bb95ba5519529</t>
        </is>
      </c>
      <c r="D620" t="inlineStr">
        <is>
          <t>Data Engineer Senior</t>
        </is>
      </c>
      <c r="E620" t="inlineStr">
        <is>
          <t>1_Discovered</t>
        </is>
      </c>
      <c r="F620" t="inlineStr">
        <is>
          <t>fanout_batch</t>
        </is>
      </c>
      <c r="G620" t="inlineStr">
        <is>
          <t>reuse</t>
        </is>
      </c>
      <c r="H620" t="inlineStr">
        <is>
          <t>seed_qualified_health_data_engineer</t>
        </is>
      </c>
      <c r="I620" t="inlineStr">
        <is>
          <t>Qualified Health Data Engineer</t>
        </is>
      </c>
      <c r="J620"/>
      <c r="K620"/>
      <c r="L620"/>
      <c r="M620"/>
      <c r="N620"/>
      <c r="O620"/>
      <c r="P620"/>
      <c r="Q620"/>
      <c r="R620">
        <f>HYPERLINK("https://fa-etnv-saasfaprod1.fa.ocs.oraclecloud.com/hcmUI/CandidateExperience/en/job/118643/?utm_medium=jobshare","https://fa-etnv-saasfaprod1.fa.ocs.oraclecloud.com/hcmUI/CandidateExperience/en/job/118643/?utm_medium=jobshare")</f>
      </c>
    </row>
    <row r="621">
      <c r="A621" t="inlineStr">
        <is>
          <t>Anthropic</t>
        </is>
      </c>
      <c r="B621" t="inlineStr">
        <is>
          <t>2026-04-03 10:28:01</t>
        </is>
      </c>
      <c r="C621" t="inlineStr">
        <is>
          <t>699692dbce78e77b4fdaafca</t>
        </is>
      </c>
      <c r="D621" t="inlineStr">
        <is>
          <t>Research Engineer, Environment Scaling</t>
        </is>
      </c>
      <c r="E621" t="inlineStr">
        <is>
          <t>1_Discovered</t>
        </is>
      </c>
      <c r="F621" t="inlineStr">
        <is>
          <t>fanout_batch</t>
        </is>
      </c>
      <c r="G621" t="inlineStr">
        <is>
          <t>reuse</t>
        </is>
      </c>
      <c r="H621" t="inlineStr">
        <is>
          <t>seed_qualified_health_data_engineer</t>
        </is>
      </c>
      <c r="I621" t="inlineStr">
        <is>
          <t>Qualified Health Data Engineer</t>
        </is>
      </c>
      <c r="J621"/>
      <c r="K621"/>
      <c r="L621"/>
      <c r="M621"/>
      <c r="N621"/>
      <c r="O621"/>
      <c r="P621"/>
      <c r="Q621"/>
      <c r="R621">
        <f>HYPERLINK("https://boards.greenhouse.io/embed/job_app?token=4951064008&amp;utm_source=jobright","https://boards.greenhouse.io/embed/job_app?token=4951064008&amp;utm_source=jobright")</f>
      </c>
    </row>
    <row r="622">
      <c r="A622" t="inlineStr">
        <is>
          <t>Spok</t>
        </is>
      </c>
      <c r="B622" t="inlineStr">
        <is>
          <t>2026-04-03 10:27:55</t>
        </is>
      </c>
      <c r="C622" t="inlineStr">
        <is>
          <t>69cfdc7b891d7b11cfcd677c</t>
        </is>
      </c>
      <c r="D622" t="inlineStr">
        <is>
          <t>Software Engineer I (Telephony) - Remote (26-7)</t>
        </is>
      </c>
      <c r="E622" t="inlineStr">
        <is>
          <t>1_Discovered</t>
        </is>
      </c>
      <c r="F622" t="inlineStr">
        <is>
          <t>seed_source</t>
        </is>
      </c>
      <c r="G622" t="inlineStr">
        <is>
          <t>seed_source</t>
        </is>
      </c>
      <c r="H622" t="inlineStr">
        <is>
          <t>seed_generalist_dotnet_enterprise</t>
        </is>
      </c>
      <c r="I622" t="inlineStr">
        <is>
          <t>Generalist DotNet Enterprise</t>
        </is>
      </c>
      <c r="J622"/>
      <c r="K622"/>
      <c r="L622"/>
      <c r="M622"/>
      <c r="N622">
        <v>93.9</v>
      </c>
      <c r="O622" t="inlineStr">
        <is>
          <t>pass</t>
        </is>
      </c>
      <c r="P622">
        <f>HYPERLINK("file:///Users/jingyizhang/Documents/Playground/projects/local_job_resume_pipeline/data/deliverables/resume_portfolio/by_company/spok/2026-04-03/69cfdc7b891d7b11cfcd677c/resume.md","/Users/jingyizhang/Documents/Playground/projects/local_job_resume_pipeline/data/deliverables/resume_portfolio/by_company/spok/2026-04-03/69cfdc7b891d7b11cfcd677c/resume.md")</f>
      </c>
      <c r="Q622"/>
      <c r="R622">
        <f>HYPERLINK("https://jobs.jobvite.com/spok/job/o16Lzfwb","https://jobs.jobvite.com/spok/job/o16Lzfwb")</f>
      </c>
    </row>
    <row r="623">
      <c r="A623" t="inlineStr">
        <is>
          <t>Audible</t>
        </is>
      </c>
      <c r="B623" t="inlineStr">
        <is>
          <t>2026-04-03 10:27:51</t>
        </is>
      </c>
      <c r="C623" t="inlineStr">
        <is>
          <t>6997ceac81476f6176affec0</t>
        </is>
      </c>
      <c r="D623" t="inlineStr">
        <is>
          <t>Quality Assurance Engineer II (ADBL185)</t>
        </is>
      </c>
      <c r="E623" t="inlineStr">
        <is>
          <t>1_Discovered</t>
        </is>
      </c>
      <c r="F623" t="inlineStr">
        <is>
          <t>fanout_batch</t>
        </is>
      </c>
      <c r="G623" t="inlineStr">
        <is>
          <t>reuse</t>
        </is>
      </c>
      <c r="H623" t="inlineStr">
        <is>
          <t>seed_magnite_sdet</t>
        </is>
      </c>
      <c r="I623" t="inlineStr">
        <is>
          <t>Magnite SDET</t>
        </is>
      </c>
      <c r="J623"/>
      <c r="K623"/>
      <c r="L623"/>
      <c r="M623"/>
      <c r="N623"/>
      <c r="O623"/>
      <c r="P623"/>
      <c r="Q623"/>
      <c r="R623">
        <f>HYPERLINK("https://www.amazon.jobs/jobs/3185152/quality-assurance-engineer-ii-adbl?cmpid=SPLICX0248M&amp;utm_source=linkedin.com&amp;utm_campaign=audible&amp;utm_medium=social_media&amp;utm_content=job_posting&amp;ss=paid","https://www.amazon.jobs/jobs/3185152/quality-assurance-engineer-ii-adbl?cmpid=SPLICX0248M&amp;utm_source=linkedin.com&amp;utm_campaign=audible&amp;utm_medium=social_media&amp;utm_content=job_posting&amp;ss=paid")</f>
      </c>
    </row>
    <row r="624">
      <c r="A624" t="inlineStr">
        <is>
          <t>Goldman Sachs</t>
        </is>
      </c>
      <c r="B624" t="inlineStr">
        <is>
          <t>2026-04-03 10:12:05</t>
        </is>
      </c>
      <c r="C624" t="inlineStr">
        <is>
          <t>69bf897179e36d3a847c2a26</t>
        </is>
      </c>
      <c r="D624" t="inlineStr">
        <is>
          <t>Data Engineering - Data Quality Assurance Specialist - Salt Lake City</t>
        </is>
      </c>
      <c r="E624" t="inlineStr">
        <is>
          <t>1_Discovered</t>
        </is>
      </c>
      <c r="F624" t="inlineStr">
        <is>
          <t>fanout_batch</t>
        </is>
      </c>
      <c r="G624" t="inlineStr">
        <is>
          <t>reuse</t>
        </is>
      </c>
      <c r="H624" t="inlineStr">
        <is>
          <t>seed_qualified_health_data_engineer</t>
        </is>
      </c>
      <c r="I624" t="inlineStr">
        <is>
          <t>Qualified Health Data Engineer</t>
        </is>
      </c>
      <c r="J624"/>
      <c r="K624"/>
      <c r="L624"/>
      <c r="M624"/>
      <c r="N624"/>
      <c r="O624"/>
      <c r="P624"/>
      <c r="Q624"/>
      <c r="R624">
        <f>HYPERLINK("https://hdpc.fa.us2.oraclecloud.com/hcmUI/CandidateExperience/en/job/165556/?utm_medium=jobshare&amp;mode=job&amp;iis=LinkedIn","https://hdpc.fa.us2.oraclecloud.com/hcmUI/CandidateExperience/en/job/165556/?utm_medium=jobshare&amp;mode=job&amp;iis=LinkedIn")</f>
      </c>
    </row>
    <row r="625">
      <c r="A625" t="inlineStr">
        <is>
          <t>NLB Services</t>
        </is>
      </c>
      <c r="B625" t="inlineStr">
        <is>
          <t>2026-04-03 10:11:01</t>
        </is>
      </c>
      <c r="C625" t="inlineStr">
        <is>
          <t>69cff888cfdc6132f9437438</t>
        </is>
      </c>
      <c r="D625" t="inlineStr">
        <is>
          <t>Data Scientist</t>
        </is>
      </c>
      <c r="E625" t="inlineStr">
        <is>
          <t>1_Discovered</t>
        </is>
      </c>
      <c r="F625" t="inlineStr">
        <is>
          <t>fanout_batch</t>
        </is>
      </c>
      <c r="G625" t="inlineStr">
        <is>
          <t>retarget</t>
        </is>
      </c>
      <c r="H625" t="inlineStr">
        <is>
          <t>seed_jpmc_data_mlops_anchor</t>
        </is>
      </c>
      <c r="I625" t="inlineStr">
        <is>
          <t>JPMorganChase Data Platform/MLOps Anchor</t>
        </is>
      </c>
      <c r="J625" t="inlineStr">
        <is>
          <t>jpmc_data_mlops_mainline</t>
        </is>
      </c>
      <c r="K625" t="inlineStr">
        <is>
          <t>mainline</t>
        </is>
      </c>
      <c r="L625"/>
      <c r="M625"/>
      <c r="N625">
        <v>93.8</v>
      </c>
      <c r="O625" t="inlineStr">
        <is>
          <t>pass</t>
        </is>
      </c>
      <c r="P625">
        <f>HYPERLINK("file:///Users/jingyizhang/Documents/Playground/projects/local_job_resume_pipeline/data/deliverables/resume_portfolio/by_company/nlb-services/2026-04-03/69cff888cfdc6132f9437438/resume.md","/Users/jingyizhang/Documents/Playground/projects/local_job_resume_pipeline/data/deliverables/resume_portfolio/by_company/nlb-services/2026-04-03/69cff888cfdc6132f9437438/resume.md")</f>
      </c>
      <c r="Q625"/>
      <c r="R625">
        <f>HYPERLINK("https://www.linkedin.com/jobs/view/4393866416","https://www.linkedin.com/jobs/view/4393866416")</f>
      </c>
    </row>
    <row r="626">
      <c r="A626" t="inlineStr">
        <is>
          <t>Gray Swan</t>
        </is>
      </c>
      <c r="B626" t="inlineStr">
        <is>
          <t>2026-04-03 10:08:18</t>
        </is>
      </c>
      <c r="C626" t="inlineStr">
        <is>
          <t>69cfd7e2cfdc6132f943630e</t>
        </is>
      </c>
      <c r="D626" t="inlineStr">
        <is>
          <t>Software Engineer</t>
        </is>
      </c>
      <c r="E626" t="inlineStr">
        <is>
          <t>1_Discovered</t>
        </is>
      </c>
      <c r="F626" t="inlineStr">
        <is>
          <t>fanout_batch</t>
        </is>
      </c>
      <c r="G626" t="inlineStr">
        <is>
          <t>retarget</t>
        </is>
      </c>
      <c r="H626" t="inlineStr">
        <is>
          <t>seed_egen_fullstack_node</t>
        </is>
      </c>
      <c r="I626" t="inlineStr">
        <is>
          <t>Egen Fullstack Node</t>
        </is>
      </c>
      <c r="J626"/>
      <c r="K626"/>
      <c r="L626"/>
      <c r="M626"/>
      <c r="N626">
        <v>95.8</v>
      </c>
      <c r="O626" t="inlineStr">
        <is>
          <t>pass</t>
        </is>
      </c>
      <c r="P626">
        <f>HYPERLINK("file:///Users/jingyizhang/Documents/Playground/projects/local_job_resume_pipeline/data/deliverables/resume_portfolio/by_company/gray-swan/2026-04-03/69cfd7e2cfdc6132f943630e/resume.md","/Users/jingyizhang/Documents/Playground/projects/local_job_resume_pipeline/data/deliverables/resume_portfolio/by_company/gray-swan/2026-04-03/69cfd7e2cfdc6132f943630e/resume.md")</f>
      </c>
      <c r="Q626"/>
      <c r="R626">
        <f>HYPERLINK("https://www.grayswan.ai/careers?ashby_jid=2edf0f4c-d356-41da-a7b8-9b54e95f140c&amp;utm_source=n4ElqN2mqQ","https://www.grayswan.ai/careers?ashby_jid=2edf0f4c-d356-41da-a7b8-9b54e95f140c&amp;utm_source=n4ElqN2mqQ")</f>
      </c>
    </row>
    <row r="627">
      <c r="A627" t="inlineStr">
        <is>
          <t>GEI Consultants, Inc.</t>
        </is>
      </c>
      <c r="B627" t="inlineStr">
        <is>
          <t>2026-04-03 10:08:04</t>
        </is>
      </c>
      <c r="C627" t="inlineStr">
        <is>
          <t>69cfd7d40b098b7a67074433</t>
        </is>
      </c>
      <c r="D627" t="inlineStr">
        <is>
          <t>AI Engineer</t>
        </is>
      </c>
      <c r="E627" t="inlineStr">
        <is>
          <t>1_Discovered</t>
        </is>
      </c>
      <c r="F627" t="inlineStr">
        <is>
          <t>fanout_batch</t>
        </is>
      </c>
      <c r="G627" t="inlineStr">
        <is>
          <t>retarget</t>
        </is>
      </c>
      <c r="H627" t="inlineStr">
        <is>
          <t>seed_h2o_ai_engineer</t>
        </is>
      </c>
      <c r="I627" t="inlineStr">
        <is>
          <t>H2O AI Engineer</t>
        </is>
      </c>
      <c r="J627"/>
      <c r="K627"/>
      <c r="L627"/>
      <c r="M627"/>
      <c r="N627">
        <v>80.0</v>
      </c>
      <c r="O627" t="inlineStr">
        <is>
          <t>fail</t>
        </is>
      </c>
      <c r="P627">
        <f>HYPERLINK("file:///Users/jingyizhang/Documents/Playground/projects/local_job_resume_pipeline/data/deliverables/resume_portfolio/by_company/gei-consultants-inc/2026-04-03/69cfd7d40b098b7a67074433/resume.md","/Users/jingyizhang/Documents/Playground/projects/local_job_resume_pipeline/data/deliverables/resume_portfolio/by_company/gei-consultants-inc/2026-04-03/69cfd7d40b098b7a67074433/resume.md")</f>
      </c>
      <c r="Q627"/>
      <c r="R627">
        <f>HYPERLINK("https://jointeamgei.geiconsultants.com/jobs/17170779-ai-engineer?tm_job=856161-OTHLOC-CACxYfwr&amp;tm_event=view&amp;tm_company=90289&amp;bid=56","https://jointeamgei.geiconsultants.com/jobs/17170779-ai-engineer?tm_job=856161-OTHLOC-CACxYfwr&amp;tm_event=view&amp;tm_company=90289&amp;bid=56")</f>
      </c>
    </row>
    <row r="628">
      <c r="A628" t="inlineStr">
        <is>
          <t>Two Sigma</t>
        </is>
      </c>
      <c r="B628" t="inlineStr">
        <is>
          <t>2026-04-03 10:07:01</t>
        </is>
      </c>
      <c r="C628" t="inlineStr">
        <is>
          <t>68ca505d06a34016008c67c7</t>
        </is>
      </c>
      <c r="D628" t="inlineStr">
        <is>
          <t>Quantitative Software Engineer: Quantitative Components</t>
        </is>
      </c>
      <c r="E628" t="inlineStr">
        <is>
          <t>1_Discovered</t>
        </is>
      </c>
      <c r="F628" t="inlineStr">
        <is>
          <t>fanout_batch</t>
        </is>
      </c>
      <c r="G628" t="inlineStr">
        <is>
          <t>retarget</t>
        </is>
      </c>
      <c r="H628" t="inlineStr">
        <is>
          <t>seed_h2o_ai_engineer</t>
        </is>
      </c>
      <c r="I628" t="inlineStr">
        <is>
          <t>H2O AI Engineer</t>
        </is>
      </c>
      <c r="J628"/>
      <c r="K628"/>
      <c r="L628"/>
      <c r="M628"/>
      <c r="N628">
        <v>94.5</v>
      </c>
      <c r="O628" t="inlineStr">
        <is>
          <t>pass</t>
        </is>
      </c>
      <c r="P628">
        <f>HYPERLINK("file:///Users/jingyizhang/Documents/Playground/projects/local_job_resume_pipeline/data/deliverables/resume_portfolio/by_company/two-sigma/2026-04-03/68ca505d06a34016008c67c7/resume.md","/Users/jingyizhang/Documents/Playground/projects/local_job_resume_pipeline/data/deliverables/resume_portfolio/by_company/two-sigma/2026-04-03/68ca505d06a34016008c67c7/resume.md")</f>
      </c>
      <c r="Q628"/>
      <c r="R628">
        <f>HYPERLINK("https://careers.twosigma.com/careers/JobDetail/New-York-City-United-States-Quantitative-Software-Engineer-Quantitative-Components/13083?source=LinkedIn","https://careers.twosigma.com/careers/JobDetail/New-York-City-United-States-Quantitative-Software-Engineer-Quantitative-Components/13083?source=LinkedIn")</f>
      </c>
    </row>
    <row r="629">
      <c r="A629" t="inlineStr">
        <is>
          <t>EMERGE</t>
        </is>
      </c>
      <c r="B629" t="inlineStr">
        <is>
          <t>2026-04-03 09:55:03</t>
        </is>
      </c>
      <c r="C629" t="inlineStr">
        <is>
          <t>69b352e8ae2a534885eab587</t>
        </is>
      </c>
      <c r="D629" t="inlineStr">
        <is>
          <t>Software Engineer</t>
        </is>
      </c>
      <c r="E629" t="inlineStr">
        <is>
          <t>1_Discovered</t>
        </is>
      </c>
      <c r="F629" t="inlineStr">
        <is>
          <t>fanout_batch</t>
        </is>
      </c>
      <c r="G629" t="inlineStr">
        <is>
          <t>reuse</t>
        </is>
      </c>
      <c r="H629" t="inlineStr">
        <is>
          <t>seed_generalist_dotnet_enterprise</t>
        </is>
      </c>
      <c r="I629" t="inlineStr">
        <is>
          <t>Generalist DotNet Enterprise</t>
        </is>
      </c>
      <c r="J629"/>
      <c r="K629"/>
      <c r="L629"/>
      <c r="M629"/>
      <c r="N629"/>
      <c r="O629"/>
      <c r="P629"/>
      <c r="Q629"/>
      <c r="R629">
        <f>HYPERLINK("https://www.linkedin.com/jobs/view/4383997022","https://www.linkedin.com/jobs/view/4383997022")</f>
      </c>
    </row>
    <row r="630">
      <c r="A630" t="inlineStr">
        <is>
          <t>Phantom</t>
        </is>
      </c>
      <c r="B630" t="inlineStr">
        <is>
          <t>2026-04-03 09:54:56</t>
        </is>
      </c>
      <c r="C630" t="inlineStr">
        <is>
          <t>69b30d8bae2a534885ea542a</t>
        </is>
      </c>
      <c r="D630" t="inlineStr">
        <is>
          <t>SDET (Money Movement)</t>
        </is>
      </c>
      <c r="E630" t="inlineStr">
        <is>
          <t>1_Discovered</t>
        </is>
      </c>
      <c r="F630" t="inlineStr">
        <is>
          <t>fanout_batch</t>
        </is>
      </c>
      <c r="G630" t="inlineStr">
        <is>
          <t>retarget</t>
        </is>
      </c>
      <c r="H630" t="inlineStr">
        <is>
          <t>seed_magnite_sdet</t>
        </is>
      </c>
      <c r="I630" t="inlineStr">
        <is>
          <t>Magnite SDET</t>
        </is>
      </c>
      <c r="J630"/>
      <c r="K630"/>
      <c r="L630"/>
      <c r="M630"/>
      <c r="N630">
        <v>96.5</v>
      </c>
      <c r="O630" t="inlineStr">
        <is>
          <t>pass</t>
        </is>
      </c>
      <c r="P630">
        <f>HYPERLINK("file:///Users/jingyizhang/Documents/Playground/projects/local_job_resume_pipeline/data/deliverables/resume_portfolio/by_company/phantom/2026-04-03/69b30d8bae2a534885ea542a/resume.md","/Users/jingyizhang/Documents/Playground/projects/local_job_resume_pipeline/data/deliverables/resume_portfolio/by_company/phantom/2026-04-03/69b30d8bae2a534885ea542a/resume.md")</f>
      </c>
      <c r="Q630"/>
      <c r="R630">
        <f>HYPERLINK("https://jobs.ashbyhq.com/phantom/49997233-6425-42a6-a61e-62c8ddd15551?src=LinkedIn","https://jobs.ashbyhq.com/phantom/49997233-6425-42a6-a61e-62c8ddd15551?src=LinkedIn")</f>
      </c>
    </row>
    <row r="631">
      <c r="A631" t="inlineStr">
        <is>
          <t>Twilio</t>
        </is>
      </c>
      <c r="B631" t="inlineStr">
        <is>
          <t>2026-04-03 09:54:53</t>
        </is>
      </c>
      <c r="C631" t="inlineStr">
        <is>
          <t>69b31defad360c0340a832ed</t>
        </is>
      </c>
      <c r="D631" t="inlineStr">
        <is>
          <t>Product Engineer (Backend)</t>
        </is>
      </c>
      <c r="E631" t="inlineStr">
        <is>
          <t>1_Discovered</t>
        </is>
      </c>
      <c r="F631" t="inlineStr">
        <is>
          <t>seed_validation</t>
        </is>
      </c>
      <c r="G631" t="inlineStr">
        <is>
          <t>reuse</t>
        </is>
      </c>
      <c r="H631" t="inlineStr">
        <is>
          <t>seed_cisco_backend_api</t>
        </is>
      </c>
      <c r="I631" t="inlineStr">
        <is>
          <t>Cisco Backend API</t>
        </is>
      </c>
      <c r="J631"/>
      <c r="K631"/>
      <c r="L631"/>
      <c r="M631"/>
      <c r="N631"/>
      <c r="O631"/>
      <c r="P631"/>
      <c r="Q631"/>
      <c r="R631">
        <f>HYPERLINK("https://jobs.twilio.com/careers/job/1099552246414?domain=twilio.com&amp;src=LinkedIn","https://jobs.twilio.com/careers/job/1099552246414?domain=twilio.com&amp;src=LinkedIn")</f>
      </c>
    </row>
    <row r="632">
      <c r="A632" t="inlineStr">
        <is>
          <t>JPMorganChase</t>
        </is>
      </c>
      <c r="B632" t="inlineStr">
        <is>
          <t>2026-04-03 09:54:34</t>
        </is>
      </c>
      <c r="C632" t="inlineStr">
        <is>
          <t>69cfd4aacdb525785fba4ec1</t>
        </is>
      </c>
      <c r="D632" t="inlineStr">
        <is>
          <t>Data Software Engineer III - ML</t>
        </is>
      </c>
      <c r="E632" t="inlineStr">
        <is>
          <t>1_Discovered</t>
        </is>
      </c>
      <c r="F632" t="inlineStr">
        <is>
          <t>retarget_trial</t>
        </is>
      </c>
      <c r="G632" t="inlineStr">
        <is>
          <t>new_seed</t>
        </is>
      </c>
      <c r="H632" t="inlineStr">
        <is>
          <t>seed_jpmc_data_mlops_anchor</t>
        </is>
      </c>
      <c r="I632" t="inlineStr">
        <is>
          <t>JPMorganChase Data MLOps Anchor</t>
        </is>
      </c>
      <c r="J632" t="inlineStr">
        <is>
          <t>jpmc_data_mlops_mainline</t>
        </is>
      </c>
      <c r="K632" t="inlineStr">
        <is>
          <t>mainline</t>
        </is>
      </c>
      <c r="L632"/>
      <c r="M632"/>
      <c r="N632">
        <v>93.4</v>
      </c>
      <c r="O632" t="inlineStr">
        <is>
          <t>pass</t>
        </is>
      </c>
      <c r="P632">
        <f>HYPERLINK("file:///Users/jingyizhang/Documents/Playground/projects/local_job_resume_pipeline/data/deliverables/resume_portfolio/by_company/jpmorganchase/2026-04-03/69cfd4aacdb525785fba4ec1/resume.md","/Users/jingyizhang/Documents/Playground/projects/local_job_resume_pipeline/data/deliverables/resume_portfolio/by_company/jpmorganchase/2026-04-03/69cfd4aacdb525785fba4ec1/resume.md")</f>
      </c>
      <c r="Q632"/>
      <c r="R632">
        <f>HYPERLINK("https://jpmc.fa.oraclecloud.com/hcmUI/CandidateExperience/en/sites/CX_1001/job/210726454","https://jpmc.fa.oraclecloud.com/hcmUI/CandidateExperience/en/sites/CX_1001/job/210726454")</f>
      </c>
    </row>
    <row r="633">
      <c r="A633" t="inlineStr">
        <is>
          <t>JPMorganChase</t>
        </is>
      </c>
      <c r="B633" t="inlineStr">
        <is>
          <t>2026-04-03 09:54:32</t>
        </is>
      </c>
      <c r="C633" t="inlineStr">
        <is>
          <t>69cfd4a80b098b7a67073ea1</t>
        </is>
      </c>
      <c r="D633" t="inlineStr">
        <is>
          <t>Software Engineer III- Mainframe Developer</t>
        </is>
      </c>
      <c r="E633" t="inlineStr">
        <is>
          <t>1_Discovered</t>
        </is>
      </c>
      <c r="F633" t="inlineStr">
        <is>
          <t>fanout_batch</t>
        </is>
      </c>
      <c r="G633" t="inlineStr">
        <is>
          <t>reuse</t>
        </is>
      </c>
      <c r="H633" t="inlineStr">
        <is>
          <t>seed_jpmc_data_mlops_anchor</t>
        </is>
      </c>
      <c r="I633" t="inlineStr">
        <is>
          <t>JPMorganChase Data Platform/MLOps Anchor</t>
        </is>
      </c>
      <c r="J633" t="inlineStr">
        <is>
          <t>jpmc_data_mlops_mainline</t>
        </is>
      </c>
      <c r="K633" t="inlineStr">
        <is>
          <t>mainline</t>
        </is>
      </c>
      <c r="L633"/>
      <c r="M633"/>
      <c r="N633"/>
      <c r="O633"/>
      <c r="P633"/>
      <c r="Q633"/>
      <c r="R633">
        <f>HYPERLINK("https://jpmc.fa.oraclecloud.com/hcmUI/CandidateExperience/en/sites/CX_1001/job/210729163","https://jpmc.fa.oraclecloud.com/hcmUI/CandidateExperience/en/sites/CX_1001/job/210729163")</f>
      </c>
    </row>
    <row r="634">
      <c r="A634" t="inlineStr">
        <is>
          <t>Ceribell │ AI-Powered Point-of-Care EEG</t>
        </is>
      </c>
      <c r="B634" t="inlineStr">
        <is>
          <t>2026-04-03 09:54:17</t>
        </is>
      </c>
      <c r="C634" t="inlineStr">
        <is>
          <t>69a88d422580d3183f0091db</t>
        </is>
      </c>
      <c r="D634" t="inlineStr">
        <is>
          <t>Software Engineer</t>
        </is>
      </c>
      <c r="E634" t="inlineStr">
        <is>
          <t>1_Discovered</t>
        </is>
      </c>
      <c r="F634" t="inlineStr">
        <is>
          <t>fanout_batch</t>
        </is>
      </c>
      <c r="G634" t="inlineStr">
        <is>
          <t>retarget</t>
        </is>
      </c>
      <c r="H634" t="inlineStr">
        <is>
          <t>seed_egen_fullstack_node</t>
        </is>
      </c>
      <c r="I634" t="inlineStr">
        <is>
          <t>Egen Fullstack Node</t>
        </is>
      </c>
      <c r="J634"/>
      <c r="K634"/>
      <c r="L634"/>
      <c r="M634"/>
      <c r="N634">
        <v>87.2</v>
      </c>
      <c r="O634" t="inlineStr">
        <is>
          <t>fail</t>
        </is>
      </c>
      <c r="P634">
        <f>HYPERLINK("file:///Users/jingyizhang/Documents/Playground/projects/local_job_resume_pipeline/data/deliverables/resume_portfolio/by_company/ceribell-ai-powered-point-of-care-eeg/2026-04-03/69a88d422580d3183f0091db/resume.md","/Users/jingyizhang/Documents/Playground/projects/local_job_resume_pipeline/data/deliverables/resume_portfolio/by_company/ceribell-ai-powered-point-of-care-eeg/2026-04-03/69a88d422580d3183f0091db/resume.md")</f>
      </c>
      <c r="Q634"/>
      <c r="R634">
        <f>HYPERLINK("https://boards.greenhouse.io/embed/job_app?token=5802294004&amp;utm_source=jobright","https://boards.greenhouse.io/embed/job_app?token=5802294004&amp;utm_source=jobright")</f>
      </c>
    </row>
    <row r="635">
      <c r="A635" t="inlineStr">
        <is>
          <t>2K</t>
        </is>
      </c>
      <c r="B635" t="inlineStr">
        <is>
          <t>2026-04-03 09:43:18</t>
        </is>
      </c>
      <c r="C635" t="inlineStr">
        <is>
          <t>697ae2c817b11b1c2e41b353</t>
        </is>
      </c>
      <c r="D635" t="inlineStr">
        <is>
          <t>Senior Applied Scientist - NBA 2K</t>
        </is>
      </c>
      <c r="E635" t="inlineStr">
        <is>
          <t>1_Discovered</t>
        </is>
      </c>
      <c r="F635" t="inlineStr">
        <is>
          <t>fanout_batch</t>
        </is>
      </c>
      <c r="G635" t="inlineStr">
        <is>
          <t>retarget</t>
        </is>
      </c>
      <c r="H635" t="inlineStr">
        <is>
          <t>seed_bytedance_ml_grad</t>
        </is>
      </c>
      <c r="I635" t="inlineStr">
        <is>
          <t>ByteDance ML Grad</t>
        </is>
      </c>
      <c r="J635"/>
      <c r="K635"/>
      <c r="L635"/>
      <c r="M635"/>
      <c r="N635">
        <v>94.0</v>
      </c>
      <c r="O635" t="inlineStr">
        <is>
          <t>pass</t>
        </is>
      </c>
      <c r="P635">
        <f>HYPERLINK("file:///Users/jingyizhang/Documents/Playground/projects/local_job_resume_pipeline/data/deliverables/resume_portfolio/by_company/2k/2026-04-03/697ae2c817b11b1c2e41b353/resume.md","/Users/jingyizhang/Documents/Playground/projects/local_job_resume_pipeline/data/deliverables/resume_portfolio/by_company/2k/2026-04-03/697ae2c817b11b1c2e41b353/resume.md")</f>
      </c>
      <c r="Q635"/>
      <c r="R635">
        <f>HYPERLINK("https://boards.greenhouse.io/embed/job_app?token=7481921003&amp;utm_source=jobright","https://boards.greenhouse.io/embed/job_app?token=7481921003&amp;utm_source=jobright")</f>
      </c>
    </row>
    <row r="636">
      <c r="A636" t="inlineStr">
        <is>
          <t>Coinbase</t>
        </is>
      </c>
      <c r="B636" t="inlineStr">
        <is>
          <t>2026-04-03 09:42:27</t>
        </is>
      </c>
      <c r="C636" t="inlineStr">
        <is>
          <t>69b9dac906c1ba00c54bfa0b</t>
        </is>
      </c>
      <c r="D636" t="inlineStr">
        <is>
          <t>Senior Software Engineer, Developer (Money Movement - Risk)</t>
        </is>
      </c>
      <c r="E636" t="inlineStr">
        <is>
          <t>1_Discovered</t>
        </is>
      </c>
      <c r="F636" t="inlineStr">
        <is>
          <t>fanout_batch</t>
        </is>
      </c>
      <c r="G636" t="inlineStr">
        <is>
          <t>retarget</t>
        </is>
      </c>
      <c r="H636" t="inlineStr">
        <is>
          <t>seed_h2o_ai_engineer</t>
        </is>
      </c>
      <c r="I636" t="inlineStr">
        <is>
          <t>H2O AI Engineer</t>
        </is>
      </c>
      <c r="J636"/>
      <c r="K636"/>
      <c r="L636"/>
      <c r="M636"/>
      <c r="N636">
        <v>89.6</v>
      </c>
      <c r="O636" t="inlineStr">
        <is>
          <t>conditional_pass</t>
        </is>
      </c>
      <c r="P636">
        <f>HYPERLINK("file:///Users/jingyizhang/Documents/Playground/projects/local_job_resume_pipeline/data/deliverables/resume_portfolio/by_company/coinbase/2026-04-03/69b9dac906c1ba00c54bfa0b/resume.md","/Users/jingyizhang/Documents/Playground/projects/local_job_resume_pipeline/data/deliverables/resume_portfolio/by_company/coinbase/2026-04-03/69b9dac906c1ba00c54bfa0b/resume.md")</f>
      </c>
      <c r="Q636"/>
      <c r="R636">
        <f>HYPERLINK("https://boards.greenhouse.io/embed/job_app?token=7707786&amp;utm_source=jobright","https://boards.greenhouse.io/embed/job_app?token=7707786&amp;utm_source=jobright")</f>
      </c>
    </row>
    <row r="637">
      <c r="A637" t="inlineStr">
        <is>
          <t>Madhive</t>
        </is>
      </c>
      <c r="B637" t="inlineStr">
        <is>
          <t>2026-04-03 09:39:16</t>
        </is>
      </c>
      <c r="C637" t="inlineStr">
        <is>
          <t>69ce827e54f00230c6cfff9a</t>
        </is>
      </c>
      <c r="D637" t="inlineStr">
        <is>
          <t>Data Analyst, Client Insights</t>
        </is>
      </c>
      <c r="E637" t="inlineStr">
        <is>
          <t>1_Discovered</t>
        </is>
      </c>
      <c r="F637" t="inlineStr">
        <is>
          <t>fanout_batch</t>
        </is>
      </c>
      <c r="G637" t="inlineStr">
        <is>
          <t>reuse</t>
        </is>
      </c>
      <c r="H637" t="inlineStr">
        <is>
          <t>seed_plaid_data_scientist</t>
        </is>
      </c>
      <c r="I637" t="inlineStr">
        <is>
          <t>Plaid Data Scientist</t>
        </is>
      </c>
      <c r="J637"/>
      <c r="K637"/>
      <c r="L637"/>
      <c r="M637"/>
      <c r="N637"/>
      <c r="O637"/>
      <c r="P637"/>
      <c r="Q637"/>
      <c r="R637">
        <f>HYPERLINK("https://jobs.ashbyhq.com/madhive/f45906cb-d3c4-4c00-a8c9-cb97ebb295f5?utm_source=qO9plN9Jrn","https://jobs.ashbyhq.com/madhive/f45906cb-d3c4-4c00-a8c9-cb97ebb295f5?utm_source=qO9plN9Jrn")</f>
      </c>
    </row>
    <row r="638">
      <c r="A638" t="inlineStr">
        <is>
          <t>OpenAI</t>
        </is>
      </c>
      <c r="B638" t="inlineStr">
        <is>
          <t>2026-04-03 09:38:17</t>
        </is>
      </c>
      <c r="C638" t="inlineStr">
        <is>
          <t>69433f9250bbaf7650551f99</t>
        </is>
      </c>
      <c r="D638" t="inlineStr">
        <is>
          <t>Backend Software Engineer, API Platform</t>
        </is>
      </c>
      <c r="E638" t="inlineStr">
        <is>
          <t>1_Discovered</t>
        </is>
      </c>
      <c r="F638" t="inlineStr">
        <is>
          <t>fanout_batch</t>
        </is>
      </c>
      <c r="G638" t="inlineStr">
        <is>
          <t>reuse</t>
        </is>
      </c>
      <c r="H638" t="inlineStr">
        <is>
          <t>seed_codex_amazon_sde</t>
        </is>
      </c>
      <c r="I638" t="inlineStr">
        <is>
          <t>Amazon SDE</t>
        </is>
      </c>
      <c r="J638" t="inlineStr">
        <is>
          <t>amazon_platform_mainline</t>
        </is>
      </c>
      <c r="K638" t="inlineStr">
        <is>
          <t>mainline</t>
        </is>
      </c>
      <c r="L638"/>
      <c r="M638"/>
      <c r="N638"/>
      <c r="O638"/>
      <c r="P638"/>
      <c r="Q638"/>
      <c r="R638">
        <f>HYPERLINK("https://jobs.ashbyhq.com/openai/22781653-051b-4c75-8725-b80233c67b1e?utm_source=8lvZy0eqYJ","https://jobs.ashbyhq.com/openai/22781653-051b-4c75-8725-b80233c67b1e?utm_source=8lvZy0eqYJ")</f>
      </c>
    </row>
    <row r="639">
      <c r="A639" t="inlineStr">
        <is>
          <t>Qualcomm</t>
        </is>
      </c>
      <c r="B639" t="inlineStr">
        <is>
          <t>2026-04-03 09:32:20</t>
        </is>
      </c>
      <c r="C639" t="inlineStr">
        <is>
          <t>69cfcf74cdb525785fba4da5</t>
        </is>
      </c>
      <c r="D639" t="inlineStr">
        <is>
          <t>Senior Networking Application Engineer</t>
        </is>
      </c>
      <c r="E639" t="inlineStr">
        <is>
          <t>1_Discovered</t>
        </is>
      </c>
      <c r="F639" t="inlineStr">
        <is>
          <t>fanout_batch</t>
        </is>
      </c>
      <c r="G639" t="inlineStr">
        <is>
          <t>retarget</t>
        </is>
      </c>
      <c r="H639" t="inlineStr">
        <is>
          <t>seed_aws_generalist_embedded</t>
        </is>
      </c>
      <c r="I639" t="inlineStr">
        <is>
          <t>AWS Generalist Embedded</t>
        </is>
      </c>
      <c r="J639"/>
      <c r="K639"/>
      <c r="L639"/>
      <c r="M639"/>
      <c r="N639">
        <v>94.1</v>
      </c>
      <c r="O639" t="inlineStr">
        <is>
          <t>pass</t>
        </is>
      </c>
      <c r="P639">
        <f>HYPERLINK("file:///Users/jingyizhang/Documents/Playground/projects/local_job_resume_pipeline/data/deliverables/resume_portfolio/by_company/qualcomm/2026-04-03/69cfcf74cdb525785fba4da5/resume.md","/Users/jingyizhang/Documents/Playground/projects/local_job_resume_pipeline/data/deliverables/resume_portfolio/by_company/qualcomm/2026-04-03/69cfcf74cdb525785fba4da5/resume.md")</f>
      </c>
      <c r="Q639"/>
      <c r="R639">
        <f>HYPERLINK("https://careers.qualcomm.com/careers/job/446717796272?hl=en-US&amp;utm_source=linkedin&amp;domain=qualcomm.com&amp;source=APPLICANT_SOURCE-6-2","https://careers.qualcomm.com/careers/job/446717796272?hl=en-US&amp;utm_source=linkedin&amp;domain=qualcomm.com&amp;source=APPLICANT_SOURCE-6-2")</f>
      </c>
    </row>
    <row r="640">
      <c r="A640" t="inlineStr">
        <is>
          <t>Profound</t>
        </is>
      </c>
      <c r="B640" t="inlineStr">
        <is>
          <t>2026-04-03 09:28:01</t>
        </is>
      </c>
      <c r="C640" t="inlineStr">
        <is>
          <t>69cfce71891d7b11cfcd5ef8</t>
        </is>
      </c>
      <c r="D640" t="inlineStr">
        <is>
          <t>Senior AI Strategist</t>
        </is>
      </c>
      <c r="E640" t="inlineStr">
        <is>
          <t>1_Discovered</t>
        </is>
      </c>
      <c r="F640" t="inlineStr">
        <is>
          <t>fanout_batch</t>
        </is>
      </c>
      <c r="G640" t="inlineStr">
        <is>
          <t>reuse</t>
        </is>
      </c>
      <c r="H640" t="inlineStr">
        <is>
          <t>seed_h2o_ai_engineer</t>
        </is>
      </c>
      <c r="I640" t="inlineStr">
        <is>
          <t>H2O AI Engineer</t>
        </is>
      </c>
      <c r="J640"/>
      <c r="K640"/>
      <c r="L640"/>
      <c r="M640"/>
      <c r="N640"/>
      <c r="O640"/>
      <c r="P640"/>
      <c r="Q640"/>
      <c r="R640">
        <f>HYPERLINK("https://www.tryprofound.com/careers/d98681c2-f665-428d-adca-b4624e7e48ef?from=careers","https://www.tryprofound.com/careers/d98681c2-f665-428d-adca-b4624e7e48ef?from=careers")</f>
      </c>
    </row>
    <row r="641">
      <c r="A641" t="inlineStr">
        <is>
          <t>Edison Scientific</t>
        </is>
      </c>
      <c r="B641" t="inlineStr">
        <is>
          <t>2026-04-03 09:27:52</t>
        </is>
      </c>
      <c r="C641" t="inlineStr">
        <is>
          <t>69d00c59cdb525785fba6c67</t>
        </is>
      </c>
      <c r="D641" t="inlineStr">
        <is>
          <t>AI Engineer - Forward Deployed</t>
        </is>
      </c>
      <c r="E641" t="inlineStr">
        <is>
          <t>1_Discovered</t>
        </is>
      </c>
      <c r="F641" t="inlineStr">
        <is>
          <t>fanout_batch</t>
        </is>
      </c>
      <c r="G641" t="inlineStr">
        <is>
          <t>retarget</t>
        </is>
      </c>
      <c r="H641" t="inlineStr">
        <is>
          <t>seed_microsoft_polyglot_generalist</t>
        </is>
      </c>
      <c r="I641" t="inlineStr">
        <is>
          <t>Microsoft Polyglot Generalist</t>
        </is>
      </c>
      <c r="J641"/>
      <c r="K641"/>
      <c r="L641"/>
      <c r="M641"/>
      <c r="N641">
        <v>94.9</v>
      </c>
      <c r="O641" t="inlineStr">
        <is>
          <t>pass</t>
        </is>
      </c>
      <c r="P641">
        <f>HYPERLINK("file:///Users/jingyizhang/Documents/Playground/projects/local_job_resume_pipeline/data/deliverables/resume_portfolio/by_company/edison-scientific/2026-04-03/69d00c59cdb525785fba6c67/resume.md","/Users/jingyizhang/Documents/Playground/projects/local_job_resume_pipeline/data/deliverables/resume_portfolio/by_company/edison-scientific/2026-04-03/69d00c59cdb525785fba6c67/resume.md")</f>
      </c>
      <c r="Q641"/>
      <c r="R641">
        <f>HYPERLINK("https://jobs.ashbyhq.com/Edison%20Scientific/cdfbe662-209b-4ab2-bf69-4d7a71b0c9b6/application?utm_source=LinkedInPaid","https://jobs.ashbyhq.com/Edison%20Scientific/cdfbe662-209b-4ab2-bf69-4d7a71b0c9b6/application?utm_source=LinkedInPaid")</f>
      </c>
    </row>
    <row r="642">
      <c r="A642" t="inlineStr">
        <is>
          <t>Abnormal AI</t>
        </is>
      </c>
      <c r="B642" t="inlineStr">
        <is>
          <t>2026-04-03 09:26:20</t>
        </is>
      </c>
      <c r="C642" t="inlineStr">
        <is>
          <t>69797a760791bc1d7230219d</t>
        </is>
      </c>
      <c r="D642" t="inlineStr">
        <is>
          <t>Senior Machine Learning Engineer - Attack Detection</t>
        </is>
      </c>
      <c r="E642" t="inlineStr">
        <is>
          <t>1_Discovered</t>
        </is>
      </c>
      <c r="F642" t="inlineStr">
        <is>
          <t>retarget_trial</t>
        </is>
      </c>
      <c r="G642" t="inlineStr">
        <is>
          <t>retarget</t>
        </is>
      </c>
      <c r="H642" t="inlineStr">
        <is>
          <t>seed_bytedance_ml_grad</t>
        </is>
      </c>
      <c r="I642" t="inlineStr">
        <is>
          <t>ByteDance ML Grad</t>
        </is>
      </c>
      <c r="J642"/>
      <c r="K642"/>
      <c r="L642"/>
      <c r="M642"/>
      <c r="N642">
        <v>93.8</v>
      </c>
      <c r="O642" t="inlineStr">
        <is>
          <t>pass</t>
        </is>
      </c>
      <c r="P642">
        <f>HYPERLINK("file:///Users/jingyizhang/Documents/Playground/projects/local_job_resume_pipeline/data/deliverables/resume_portfolio/by_company/abnormal-ai/2026-04-03/69797a760791bc1d7230219d/resume.md","/Users/jingyizhang/Documents/Playground/projects/local_job_resume_pipeline/data/deliverables/resume_portfolio/by_company/abnormal-ai/2026-04-03/69797a760791bc1d7230219d/resume.md")</f>
      </c>
      <c r="Q642"/>
      <c r="R642">
        <f>HYPERLINK("https://boards.greenhouse.io/embed/job_app?token=7602978003&amp;utm_source=jobright","https://boards.greenhouse.io/embed/job_app?token=7602978003&amp;utm_source=jobright")</f>
      </c>
    </row>
    <row r="643">
      <c r="A643" t="inlineStr">
        <is>
          <t>Fireblocks</t>
        </is>
      </c>
      <c r="B643" t="inlineStr">
        <is>
          <t>2026-04-03 09:26:11</t>
        </is>
      </c>
      <c r="C643" t="inlineStr">
        <is>
          <t>6925bcedd47de4798ecd1440</t>
        </is>
      </c>
      <c r="D643" t="inlineStr">
        <is>
          <t>Site Reliability Engineer (SRE) (Pacific time)</t>
        </is>
      </c>
      <c r="E643" t="inlineStr">
        <is>
          <t>1_Discovered</t>
        </is>
      </c>
      <c r="F643" t="inlineStr">
        <is>
          <t>retarget_trial</t>
        </is>
      </c>
      <c r="G643" t="inlineStr">
        <is>
          <t>new_seed</t>
        </is>
      </c>
      <c r="H643" t="inlineStr">
        <is>
          <t>seed_fireblocks_sre_anchor</t>
        </is>
      </c>
      <c r="I643" t="inlineStr">
        <is>
          <t>Fireblocks SRE Anchor</t>
        </is>
      </c>
      <c r="J643"/>
      <c r="K643"/>
      <c r="L643"/>
      <c r="M643"/>
      <c r="N643">
        <v>94.1</v>
      </c>
      <c r="O643" t="inlineStr">
        <is>
          <t>pass</t>
        </is>
      </c>
      <c r="P643">
        <f>HYPERLINK("file:///Users/jingyizhang/Documents/Playground/projects/local_job_resume_pipeline/data/deliverables/resume_portfolio/by_company/fireblocks/2026-04-03/6925bcedd47de4798ecd1440/resume.md","/Users/jingyizhang/Documents/Playground/projects/local_job_resume_pipeline/data/deliverables/resume_portfolio/by_company/fireblocks/2026-04-03/6925bcedd47de4798ecd1440/resume.md")</f>
      </c>
      <c r="Q643"/>
      <c r="R643">
        <f>HYPERLINK("https://boards.greenhouse.io/embed/job_app?token=4619316006&amp;utm_source=jobright","https://boards.greenhouse.io/embed/job_app?token=4619316006&amp;utm_source=jobright")</f>
      </c>
    </row>
    <row r="644">
      <c r="A644" t="inlineStr">
        <is>
          <t>Nash</t>
        </is>
      </c>
      <c r="B644" t="inlineStr">
        <is>
          <t>2026-04-03 09:25:19</t>
        </is>
      </c>
      <c r="C644" t="inlineStr">
        <is>
          <t>696e52bd350cf43803150e00</t>
        </is>
      </c>
      <c r="D644" t="inlineStr">
        <is>
          <t>Full Stack Engineer</t>
        </is>
      </c>
      <c r="E644" t="inlineStr">
        <is>
          <t>1_Discovered</t>
        </is>
      </c>
      <c r="F644" t="inlineStr">
        <is>
          <t>fanout_batch</t>
        </is>
      </c>
      <c r="G644" t="inlineStr">
        <is>
          <t>retarget</t>
        </is>
      </c>
      <c r="H644" t="inlineStr">
        <is>
          <t>seed_egen_fullstack_node</t>
        </is>
      </c>
      <c r="I644" t="inlineStr">
        <is>
          <t>Egen Fullstack Node</t>
        </is>
      </c>
      <c r="J644"/>
      <c r="K644"/>
      <c r="L644"/>
      <c r="M644"/>
      <c r="N644">
        <v>84.2</v>
      </c>
      <c r="O644" t="inlineStr">
        <is>
          <t>fail</t>
        </is>
      </c>
      <c r="P644">
        <f>HYPERLINK("file:///Users/jingyizhang/Documents/Playground/projects/local_job_resume_pipeline/data/deliverables/resume_portfolio/by_company/nash/2026-04-03/696e52bd350cf43803150e00/resume.md","/Users/jingyizhang/Documents/Playground/projects/local_job_resume_pipeline/data/deliverables/resume_portfolio/by_company/nash/2026-04-03/696e52bd350cf43803150e00/resume.md")</f>
      </c>
      <c r="Q644"/>
      <c r="R644">
        <f>HYPERLINK("https://jobs.ashbyhq.com/Nash/9024ea9d-648a-4c92-8678-01b2b5357d1e","https://jobs.ashbyhq.com/Nash/9024ea9d-648a-4c92-8678-01b2b5357d1e")</f>
      </c>
    </row>
    <row r="645">
      <c r="A645" t="inlineStr">
        <is>
          <t>SS&amp;C Technologies</t>
        </is>
      </c>
      <c r="B645" t="inlineStr">
        <is>
          <t>2026-04-03 09:25:11</t>
        </is>
      </c>
      <c r="C645" t="inlineStr">
        <is>
          <t>69cfcdc7366bb95ba5518cb0</t>
        </is>
      </c>
      <c r="D645" t="inlineStr">
        <is>
          <t>Sr. Software Developer</t>
        </is>
      </c>
      <c r="E645" t="inlineStr">
        <is>
          <t>1_Discovered</t>
        </is>
      </c>
      <c r="F645" t="inlineStr">
        <is>
          <t>fanout_batch</t>
        </is>
      </c>
      <c r="G645" t="inlineStr">
        <is>
          <t>retarget</t>
        </is>
      </c>
      <c r="H645" t="inlineStr">
        <is>
          <t>seed_generalist_dotnet_enterprise</t>
        </is>
      </c>
      <c r="I645" t="inlineStr">
        <is>
          <t>Generalist DotNet Enterprise</t>
        </is>
      </c>
      <c r="J645"/>
      <c r="K645"/>
      <c r="L645"/>
      <c r="M645"/>
      <c r="N645">
        <v>96.3</v>
      </c>
      <c r="O645" t="inlineStr">
        <is>
          <t>pass</t>
        </is>
      </c>
      <c r="P645">
        <f>HYPERLINK("file:///Users/jingyizhang/Documents/Playground/projects/local_job_resume_pipeline/data/deliverables/resume_portfolio/by_company/ss-c-technologies/2026-04-03/69cfcdc7366bb95ba5518cb0/resume.md","/Users/jingyizhang/Documents/Playground/projects/local_job_resume_pipeline/data/deliverables/resume_portfolio/by_company/ss-c-technologies/2026-04-03/69cfcdc7366bb95ba5518cb0/resume.md")</f>
      </c>
      <c r="Q645"/>
      <c r="R645">
        <f>HYPERLINK("https://www.linkedin.com/jobs/view/4344953525","https://www.linkedin.com/jobs/view/4344953525")</f>
      </c>
    </row>
    <row r="646">
      <c r="A646" t="inlineStr">
        <is>
          <t>Notion</t>
        </is>
      </c>
      <c r="B646" t="inlineStr">
        <is>
          <t>2026-04-03 09:24:56</t>
        </is>
      </c>
      <c r="C646" t="inlineStr">
        <is>
          <t>69436cf150bbaf76505559e5</t>
        </is>
      </c>
      <c r="D646" t="inlineStr">
        <is>
          <t>Data Engineer, Finance</t>
        </is>
      </c>
      <c r="E646" t="inlineStr">
        <is>
          <t>1_Discovered</t>
        </is>
      </c>
      <c r="F646" t="inlineStr">
        <is>
          <t>fanout_batch</t>
        </is>
      </c>
      <c r="G646" t="inlineStr">
        <is>
          <t>retarget</t>
        </is>
      </c>
      <c r="H646" t="inlineStr">
        <is>
          <t>seed_qualified_health_data_engineer</t>
        </is>
      </c>
      <c r="I646" t="inlineStr">
        <is>
          <t>Qualified Health Data Engineer</t>
        </is>
      </c>
      <c r="J646"/>
      <c r="K646"/>
      <c r="L646"/>
      <c r="M646"/>
      <c r="N646">
        <v>90.8</v>
      </c>
      <c r="O646" t="inlineStr">
        <is>
          <t>conditional_pass</t>
        </is>
      </c>
      <c r="P646">
        <f>HYPERLINK("file:///Users/jingyizhang/Documents/Playground/projects/local_job_resume_pipeline/data/deliverables/resume_portfolio/by_company/notion/2026-04-03/69436cf150bbaf76505559e5/resume.md","/Users/jingyizhang/Documents/Playground/projects/local_job_resume_pipeline/data/deliverables/resume_portfolio/by_company/notion/2026-04-03/69436cf150bbaf76505559e5/resume.md")</f>
      </c>
      <c r="Q646"/>
      <c r="R646">
        <f>HYPERLINK("https://jobs.ashbyhq.com/notion/4d1bce46-3cb1-4a26-b6c6-ac9b02ee413d?source=LinkedIn","https://jobs.ashbyhq.com/notion/4d1bce46-3cb1-4a26-b6c6-ac9b02ee413d?source=LinkedIn")</f>
      </c>
    </row>
    <row r="647">
      <c r="A647" t="inlineStr">
        <is>
          <t>QuoteWerks</t>
        </is>
      </c>
      <c r="B647" t="inlineStr">
        <is>
          <t>2026-04-03 09:19:56</t>
        </is>
      </c>
      <c r="C647" t="inlineStr">
        <is>
          <t>69b2f398ad360c0340a8031c</t>
        </is>
      </c>
      <c r="D647" t="inlineStr">
        <is>
          <t>Software Developer</t>
        </is>
      </c>
      <c r="E647" t="inlineStr">
        <is>
          <t>1_Discovered</t>
        </is>
      </c>
      <c r="F647" t="inlineStr">
        <is>
          <t>fanout_batch</t>
        </is>
      </c>
      <c r="G647" t="inlineStr">
        <is>
          <t>retarget</t>
        </is>
      </c>
      <c r="H647" t="inlineStr">
        <is>
          <t>seed_generalist_dotnet_enterprise</t>
        </is>
      </c>
      <c r="I647" t="inlineStr">
        <is>
          <t>Generalist DotNet Enterprise</t>
        </is>
      </c>
      <c r="J647"/>
      <c r="K647"/>
      <c r="L647"/>
      <c r="M647"/>
      <c r="N647">
        <v>94.5</v>
      </c>
      <c r="O647" t="inlineStr">
        <is>
          <t>pass</t>
        </is>
      </c>
      <c r="P647">
        <f>HYPERLINK("file:///Users/jingyizhang/Documents/Playground/projects/local_job_resume_pipeline/data/deliverables/resume_portfolio/by_company/quotewerks/2026-04-03/69b2f398ad360c0340a8031c/resume.md","/Users/jingyizhang/Documents/Playground/projects/local_job_resume_pipeline/data/deliverables/resume_portfolio/by_company/quotewerks/2026-04-03/69b2f398ad360c0340a8031c/resume.md")</f>
      </c>
      <c r="Q647"/>
      <c r="R647">
        <f>HYPERLINK("https://www.linkedin.com/jobs/view/4383006642","https://www.linkedin.com/jobs/view/4383006642")</f>
      </c>
    </row>
    <row r="648">
      <c r="A648" t="inlineStr">
        <is>
          <t>iManage</t>
        </is>
      </c>
      <c r="B648" t="inlineStr">
        <is>
          <t>2026-04-03 09:19:15</t>
        </is>
      </c>
      <c r="C648" t="inlineStr">
        <is>
          <t>69b335b5ae2a534885ea9e81</t>
        </is>
      </c>
      <c r="D648" t="inlineStr">
        <is>
          <t>DevOps Engineer</t>
        </is>
      </c>
      <c r="E648" t="inlineStr">
        <is>
          <t>1_Discovered</t>
        </is>
      </c>
      <c r="F648" t="inlineStr">
        <is>
          <t>seed_validation</t>
        </is>
      </c>
      <c r="G648" t="inlineStr">
        <is>
          <t>reuse</t>
        </is>
      </c>
      <c r="H648" t="inlineStr">
        <is>
          <t>seed_trimedx_platform_multicloud</t>
        </is>
      </c>
      <c r="I648" t="inlineStr">
        <is>
          <t>TRIMEDX Platform Multicloud</t>
        </is>
      </c>
      <c r="J648"/>
      <c r="K648"/>
      <c r="L648"/>
      <c r="M648"/>
      <c r="N648"/>
      <c r="O648"/>
      <c r="P648"/>
      <c r="Q648"/>
      <c r="R648">
        <f>HYPERLINK("http://imanagecom.applytojob.com/apply/sygEHdmz27?source=LinkedIn","http://imanagecom.applytojob.com/apply/sygEHdmz27?source=LinkedIn")</f>
      </c>
    </row>
    <row r="649">
      <c r="A649" t="inlineStr">
        <is>
          <t>Render</t>
        </is>
      </c>
      <c r="B649" t="inlineStr">
        <is>
          <t>2026-04-03 09:18:47</t>
        </is>
      </c>
      <c r="C649" t="inlineStr">
        <is>
          <t>69969447ce78e77b4fdab252</t>
        </is>
      </c>
      <c r="D649" t="inlineStr">
        <is>
          <t>Software Engineer, Billing</t>
        </is>
      </c>
      <c r="E649" t="inlineStr">
        <is>
          <t>1_Discovered</t>
        </is>
      </c>
      <c r="F649" t="inlineStr">
        <is>
          <t>fanout_batch</t>
        </is>
      </c>
      <c r="G649" t="inlineStr">
        <is>
          <t>retarget</t>
        </is>
      </c>
      <c r="H649" t="inlineStr">
        <is>
          <t>seed_paypal_java_backend</t>
        </is>
      </c>
      <c r="I649" t="inlineStr">
        <is>
          <t>PayPal Java Backend</t>
        </is>
      </c>
      <c r="J649"/>
      <c r="K649"/>
      <c r="L649"/>
      <c r="M649"/>
      <c r="N649">
        <v>73.1</v>
      </c>
      <c r="O649" t="inlineStr">
        <is>
          <t>fail</t>
        </is>
      </c>
      <c r="P649">
        <f>HYPERLINK("file:///Users/jingyizhang/Documents/Playground/projects/local_job_resume_pipeline/data/deliverables/resume_portfolio/by_company/render/2026-04-03/69969447ce78e77b4fdab252/resume.md","/Users/jingyizhang/Documents/Playground/projects/local_job_resume_pipeline/data/deliverables/resume_portfolio/by_company/render/2026-04-03/69969447ce78e77b4fdab252/resume.md")</f>
      </c>
      <c r="Q649"/>
      <c r="R649">
        <f>HYPERLINK("https://jobs.ashbyhq.com/render/57a61c00-fa74-402d-89cd-1a1b936e14d5?source=LinkedIn","https://jobs.ashbyhq.com/render/57a61c00-fa74-402d-89cd-1a1b936e14d5?source=LinkedIn")</f>
      </c>
    </row>
    <row r="650">
      <c r="A650" t="inlineStr">
        <is>
          <t>MacPractice</t>
        </is>
      </c>
      <c r="B650" t="inlineStr">
        <is>
          <t>2026-04-03 09:18:15</t>
        </is>
      </c>
      <c r="C650" t="inlineStr">
        <is>
          <t>69cfcc270b098b7a67073c48</t>
        </is>
      </c>
      <c r="D650" t="inlineStr">
        <is>
          <t>AI Agent Developer</t>
        </is>
      </c>
      <c r="E650" t="inlineStr">
        <is>
          <t>1_Discovered</t>
        </is>
      </c>
      <c r="F650" t="inlineStr">
        <is>
          <t>fanout_batch</t>
        </is>
      </c>
      <c r="G650" t="inlineStr">
        <is>
          <t>reuse</t>
        </is>
      </c>
      <c r="H650" t="inlineStr">
        <is>
          <t>seed_linkedin_mle_foundation</t>
        </is>
      </c>
      <c r="I650" t="inlineStr">
        <is>
          <t>LinkedIn MLE Foundation</t>
        </is>
      </c>
      <c r="J650"/>
      <c r="K650"/>
      <c r="L650"/>
      <c r="M650"/>
      <c r="N650"/>
      <c r="O650"/>
      <c r="P650"/>
      <c r="Q650"/>
      <c r="R650">
        <f>HYPERLINK("https://apply.workable.com/valsoft-corp/j/7268C1FE8C?utm_source=linkedin.com","https://apply.workable.com/valsoft-corp/j/7268C1FE8C?utm_source=linkedin.com")</f>
      </c>
    </row>
    <row r="651">
      <c r="A651" t="inlineStr">
        <is>
          <t>Schrödinger</t>
        </is>
      </c>
      <c r="B651" t="inlineStr">
        <is>
          <t>2026-04-03 09:17:53</t>
        </is>
      </c>
      <c r="C651" t="inlineStr">
        <is>
          <t>69b327d1ae2a534885ea8a2f</t>
        </is>
      </c>
      <c r="D651" t="inlineStr">
        <is>
          <t>Machine Learning Platform Engineer</t>
        </is>
      </c>
      <c r="E651" t="inlineStr">
        <is>
          <t>1_Discovered</t>
        </is>
      </c>
      <c r="F651" t="inlineStr">
        <is>
          <t>fanout_batch</t>
        </is>
      </c>
      <c r="G651" t="inlineStr">
        <is>
          <t>retarget</t>
        </is>
      </c>
      <c r="H651" t="inlineStr">
        <is>
          <t>seed_h2o_ai_engineer</t>
        </is>
      </c>
      <c r="I651" t="inlineStr">
        <is>
          <t>H2O AI Engineer</t>
        </is>
      </c>
      <c r="J651"/>
      <c r="K651"/>
      <c r="L651"/>
      <c r="M651"/>
      <c r="N651">
        <v>82.7</v>
      </c>
      <c r="O651" t="inlineStr">
        <is>
          <t>fail</t>
        </is>
      </c>
      <c r="P651">
        <f>HYPERLINK("file:///Users/jingyizhang/Documents/Playground/projects/local_job_resume_pipeline/data/deliverables/resume_portfolio/by_company/schrodinger/2026-04-03/69b327d1ae2a534885ea8a2f/resume.md","/Users/jingyizhang/Documents/Playground/projects/local_job_resume_pipeline/data/deliverables/resume_portfolio/by_company/schrodinger/2026-04-03/69b327d1ae2a534885ea8a2f/resume.md")</f>
      </c>
      <c r="Q651"/>
      <c r="R651">
        <f>HYPERLINK("https://boards.greenhouse.io/embed/job_app?token=7655026003&amp;utm_source=jobright","https://boards.greenhouse.io/embed/job_app?token=7655026003&amp;utm_source=jobright")</f>
      </c>
    </row>
    <row r="652">
      <c r="A652" t="inlineStr">
        <is>
          <t>Plaid</t>
        </is>
      </c>
      <c r="B652" t="inlineStr">
        <is>
          <t>2026-04-03 09:17:28</t>
        </is>
      </c>
      <c r="C652" t="inlineStr">
        <is>
          <t>68cbf16a128dc347fd91c700</t>
        </is>
      </c>
      <c r="D652" t="inlineStr">
        <is>
          <t>Software Engineer</t>
        </is>
      </c>
      <c r="E652" t="inlineStr">
        <is>
          <t>1_Discovered</t>
        </is>
      </c>
      <c r="F652" t="inlineStr">
        <is>
          <t>seed_validation</t>
        </is>
      </c>
      <c r="G652" t="inlineStr">
        <is>
          <t>reuse</t>
        </is>
      </c>
      <c r="H652" t="inlineStr">
        <is>
          <t>seed_spotify_backend_music</t>
        </is>
      </c>
      <c r="I652" t="inlineStr">
        <is>
          <t>Spotify Backend Music</t>
        </is>
      </c>
      <c r="J652"/>
      <c r="K652"/>
      <c r="L652"/>
      <c r="M652"/>
      <c r="N652"/>
      <c r="O652"/>
      <c r="P652"/>
      <c r="Q652"/>
      <c r="R652">
        <f>HYPERLINK("https://jobs.lever.co/plaid/49139a62-a9bc-4400-ae89-789818b34cb8/apply?lever-origin=applied&amp;lever-source=jobright","https://jobs.lever.co/plaid/49139a62-a9bc-4400-ae89-789818b34cb8/apply?lever-origin=applied&amp;lever-source=jobright")</f>
      </c>
    </row>
    <row r="653">
      <c r="A653" t="inlineStr">
        <is>
          <t>JPMorganChase</t>
        </is>
      </c>
      <c r="B653" t="inlineStr">
        <is>
          <t>2026-04-03 09:15:03</t>
        </is>
      </c>
      <c r="C653" t="inlineStr">
        <is>
          <t>69cfcb6754f00230c6d0c6cc</t>
        </is>
      </c>
      <c r="D653" t="inlineStr">
        <is>
          <t>Data Scientist Associate - Payments</t>
        </is>
      </c>
      <c r="E653" t="inlineStr">
        <is>
          <t>1_Discovered</t>
        </is>
      </c>
      <c r="F653" t="inlineStr">
        <is>
          <t>fanout_batch</t>
        </is>
      </c>
      <c r="G653" t="inlineStr">
        <is>
          <t>reuse</t>
        </is>
      </c>
      <c r="H653" t="inlineStr">
        <is>
          <t>seed_jpmc_data_mlops_anchor</t>
        </is>
      </c>
      <c r="I653" t="inlineStr">
        <is>
          <t>JPMorganChase Data Platform/MLOps Anchor</t>
        </is>
      </c>
      <c r="J653" t="inlineStr">
        <is>
          <t>jpmc_data_mlops_mainline</t>
        </is>
      </c>
      <c r="K653" t="inlineStr">
        <is>
          <t>mainline</t>
        </is>
      </c>
      <c r="L653"/>
      <c r="M653"/>
      <c r="N653"/>
      <c r="O653"/>
      <c r="P653"/>
      <c r="Q653"/>
      <c r="R653">
        <f>HYPERLINK("https://JPMorganChase.contacthr.com/151688098","https://JPMorganChase.contacthr.com/151688098")</f>
      </c>
    </row>
    <row r="654">
      <c r="A654" t="inlineStr">
        <is>
          <t>Profound</t>
        </is>
      </c>
      <c r="B654" t="inlineStr">
        <is>
          <t>2026-04-03 09:02:22</t>
        </is>
      </c>
      <c r="C654" t="inlineStr">
        <is>
          <t>69cfc86e0b098b7a67073bac</t>
        </is>
      </c>
      <c r="D654" t="inlineStr">
        <is>
          <t>Software Engineer, Fullstack</t>
        </is>
      </c>
      <c r="E654" t="inlineStr">
        <is>
          <t>1_Discovered</t>
        </is>
      </c>
      <c r="F654" t="inlineStr">
        <is>
          <t>seed_source</t>
        </is>
      </c>
      <c r="G654" t="inlineStr">
        <is>
          <t>seed_source</t>
        </is>
      </c>
      <c r="H654" t="inlineStr">
        <is>
          <t>seed_profound_fullstack_ts_node</t>
        </is>
      </c>
      <c r="I654" t="inlineStr">
        <is>
          <t>Profound Fullstack TS Node</t>
        </is>
      </c>
      <c r="J654"/>
      <c r="K654"/>
      <c r="L654"/>
      <c r="M654"/>
      <c r="N654">
        <v>94.8</v>
      </c>
      <c r="O654" t="inlineStr">
        <is>
          <t>pass</t>
        </is>
      </c>
      <c r="P654">
        <f>HYPERLINK("file:///Users/jingyizhang/Documents/Playground/projects/local_job_resume_pipeline/data/deliverables/resume_portfolio/by_company/profound/2026-04-03/69cfc86e0b098b7a67073bac/resume.md","/Users/jingyizhang/Documents/Playground/projects/local_job_resume_pipeline/data/deliverables/resume_portfolio/by_company/profound/2026-04-03/69cfc86e0b098b7a67073bac/resume.md")</f>
      </c>
      <c r="Q654"/>
      <c r="R654">
        <f>HYPERLINK("https://www.tryprofound.com/careers/9b429dfb-bb80-4bd6-b996-e5dd3a96908e?from=careers","https://www.tryprofound.com/careers/9b429dfb-bb80-4bd6-b996-e5dd3a96908e?from=careers")</f>
      </c>
    </row>
    <row r="655">
      <c r="A655" t="inlineStr">
        <is>
          <t>Profound</t>
        </is>
      </c>
      <c r="B655" t="inlineStr">
        <is>
          <t>2026-04-03 09:01:20</t>
        </is>
      </c>
      <c r="C655" t="inlineStr">
        <is>
          <t>69cfc830366bb95ba5518b62</t>
        </is>
      </c>
      <c r="D655" t="inlineStr">
        <is>
          <t>Software Engineer, Frontend</t>
        </is>
      </c>
      <c r="E655" t="inlineStr">
        <is>
          <t>1_Discovered</t>
        </is>
      </c>
      <c r="F655" t="inlineStr">
        <is>
          <t>seed_source</t>
        </is>
      </c>
      <c r="G655" t="inlineStr">
        <is>
          <t>seed_source</t>
        </is>
      </c>
      <c r="H655" t="inlineStr">
        <is>
          <t>seed_frontend_web_perf</t>
        </is>
      </c>
      <c r="I655" t="inlineStr">
        <is>
          <t>Frontend Web Performance</t>
        </is>
      </c>
      <c r="J655"/>
      <c r="K655"/>
      <c r="L655"/>
      <c r="M655"/>
      <c r="N655">
        <v>94.8</v>
      </c>
      <c r="O655" t="inlineStr">
        <is>
          <t>pass</t>
        </is>
      </c>
      <c r="P655">
        <f>HYPERLINK("file:///Users/jingyizhang/Documents/Playground/projects/local_job_resume_pipeline/data/deliverables/resume_portfolio/by_company/profound/2026-04-03/69cfc830366bb95ba5518b62/resume.md","/Users/jingyizhang/Documents/Playground/projects/local_job_resume_pipeline/data/deliverables/resume_portfolio/by_company/profound/2026-04-03/69cfc830366bb95ba5518b62/resume.md")</f>
      </c>
      <c r="Q655"/>
      <c r="R655">
        <f>HYPERLINK("https://www.tryprofound.com/careers/40aeeeac-24fe-40b2-88d9-242a5ce9300b?from=careers","https://www.tryprofound.com/careers/40aeeeac-24fe-40b2-88d9-242a5ce9300b?from=careers")</f>
      </c>
    </row>
    <row r="656">
      <c r="A656" t="inlineStr">
        <is>
          <t>Prime Video &amp; Amazon MGM Studios</t>
        </is>
      </c>
      <c r="B656" t="inlineStr">
        <is>
          <t>2026-04-03 09:00:08</t>
        </is>
      </c>
      <c r="C656" t="inlineStr">
        <is>
          <t>69b36777a8ac8e70ff679ed8</t>
        </is>
      </c>
      <c r="D656" t="inlineStr">
        <is>
          <t>Software Development Engineer - AI, Prime Video - Personalization and Discovery Science</t>
        </is>
      </c>
      <c r="E656" t="inlineStr">
        <is>
          <t>1_Discovered</t>
        </is>
      </c>
      <c r="F656" t="inlineStr">
        <is>
          <t>seed_validation</t>
        </is>
      </c>
      <c r="G656" t="inlineStr">
        <is>
          <t>reuse</t>
        </is>
      </c>
      <c r="H656" t="inlineStr">
        <is>
          <t>seed_glean_ml_infra</t>
        </is>
      </c>
      <c r="I656" t="inlineStr">
        <is>
          <t>Glean ML Infrastructure</t>
        </is>
      </c>
      <c r="J656"/>
      <c r="K656"/>
      <c r="L656"/>
      <c r="M656"/>
      <c r="N656"/>
      <c r="O656"/>
      <c r="P656"/>
      <c r="Q656"/>
      <c r="R656">
        <f>HYPERLINK("https://www.amazon.jobs/jobs/3203559/software-development-engineer--ai-prime-video--personalization-and-discovery-science?cmpid=SPLICX0248M&amp;utm_source=linkedin.com&amp;utm_campaign=cxro&amp;utm_medium=social_media&amp;utm_content=job_posting&amp;ss=paid","https://www.amazon.jobs/jobs/3203559/software-development-engineer--ai-prime-video--personalization-and-discovery-science?cmpid=SPLICX0248M&amp;utm_source=linkedin.com&amp;utm_campaign=cxro&amp;utm_medium=social_media&amp;utm_content=job_posting&amp;ss=paid")</f>
      </c>
    </row>
    <row r="657">
      <c r="A657" t="inlineStr">
        <is>
          <t>Google</t>
        </is>
      </c>
      <c r="B657" t="inlineStr">
        <is>
          <t>2026-04-03 08:59:36</t>
        </is>
      </c>
      <c r="C657" t="inlineStr">
        <is>
          <t>69cfc7c8366bb95ba5518b4a</t>
        </is>
      </c>
      <c r="D657" t="inlineStr">
        <is>
          <t>Software Engineer, AI/ML, Geo Data Protection</t>
        </is>
      </c>
      <c r="E657" t="inlineStr">
        <is>
          <t>1_Discovered</t>
        </is>
      </c>
      <c r="F657" t="inlineStr">
        <is>
          <t>fanout_batch</t>
        </is>
      </c>
      <c r="G657" t="inlineStr">
        <is>
          <t>reuse</t>
        </is>
      </c>
      <c r="H657" t="inlineStr">
        <is>
          <t>seed_google_geo_aiml_anchor</t>
        </is>
      </c>
      <c r="I657" t="inlineStr">
        <is>
          <t>Google Workspace/Geo AIML Anchor</t>
        </is>
      </c>
      <c r="J657" t="inlineStr">
        <is>
          <t>google_product_ai_mainline</t>
        </is>
      </c>
      <c r="K657" t="inlineStr">
        <is>
          <t>mainline</t>
        </is>
      </c>
      <c r="L657"/>
      <c r="M657"/>
      <c r="N657"/>
      <c r="O657"/>
      <c r="P657"/>
      <c r="Q657"/>
      <c r="R657">
        <f>HYPERLINK("https://careers.google.com/jobs/results/118780255061058246-software-engineer/?src=Online/LinkedIn/linkedin_us&amp;utm_source=linkedin&amp;utm_medium=jobposting&amp;utm_campaign=contract","https://careers.google.com/jobs/results/118780255061058246-software-engineer/?src=Online/LinkedIn/linkedin_us&amp;utm_source=linkedin&amp;utm_medium=jobposting&amp;utm_campaign=contract")</f>
      </c>
    </row>
    <row r="658">
      <c r="A658" t="inlineStr">
        <is>
          <t>Amazon</t>
        </is>
      </c>
      <c r="B658" t="inlineStr">
        <is>
          <t>2026-04-03 08:59:09</t>
        </is>
      </c>
      <c r="C658" t="inlineStr">
        <is>
          <t>69b2caedad360c0340a7bebf</t>
        </is>
      </c>
      <c r="D658" t="inlineStr">
        <is>
          <t>Software Development Engineer , Alexa Device Platform Team</t>
        </is>
      </c>
      <c r="E658" t="inlineStr">
        <is>
          <t>1_Discovered</t>
        </is>
      </c>
      <c r="F658" t="inlineStr">
        <is>
          <t>fanout_batch</t>
        </is>
      </c>
      <c r="G658" t="inlineStr">
        <is>
          <t>reuse</t>
        </is>
      </c>
      <c r="H658" t="inlineStr">
        <is>
          <t>seed_codex_amazon_sde</t>
        </is>
      </c>
      <c r="I658" t="inlineStr">
        <is>
          <t>Amazon SDE</t>
        </is>
      </c>
      <c r="J658" t="inlineStr">
        <is>
          <t>amazon_platform_mainline</t>
        </is>
      </c>
      <c r="K658" t="inlineStr">
        <is>
          <t>mainline</t>
        </is>
      </c>
      <c r="L658"/>
      <c r="M658"/>
      <c r="N658"/>
      <c r="O658"/>
      <c r="P658"/>
      <c r="Q658"/>
      <c r="R658">
        <f>HYPERLINK("https://www.amazon.jobs/jobs/3202831/software-development-engineer--alexa-device-platform-team?cmpid=SPLICX0248M&amp;utm_source=linkedin.com&amp;utm_campaign=cxro&amp;utm_medium=social_media&amp;utm_content=job_posting&amp;ss=paid","https://www.amazon.jobs/jobs/3202831/software-development-engineer--alexa-device-platform-team?cmpid=SPLICX0248M&amp;utm_source=linkedin.com&amp;utm_campaign=cxro&amp;utm_medium=social_media&amp;utm_content=job_posting&amp;ss=paid")</f>
      </c>
    </row>
    <row r="659">
      <c r="A659" t="inlineStr">
        <is>
          <t>ArteraAI</t>
        </is>
      </c>
      <c r="B659" t="inlineStr">
        <is>
          <t>2026-04-03 08:58:59</t>
        </is>
      </c>
      <c r="C659" t="inlineStr">
        <is>
          <t>69be20c1b106024562838cb7</t>
        </is>
      </c>
      <c r="D659" t="inlineStr">
        <is>
          <t>Machine Learning Engineer (Model Dev)</t>
        </is>
      </c>
      <c r="E659" t="inlineStr">
        <is>
          <t>1_Discovered</t>
        </is>
      </c>
      <c r="F659" t="inlineStr">
        <is>
          <t>fanout_batch</t>
        </is>
      </c>
      <c r="G659" t="inlineStr">
        <is>
          <t>retarget</t>
        </is>
      </c>
      <c r="H659" t="inlineStr">
        <is>
          <t>seed_h2o_ai_engineer</t>
        </is>
      </c>
      <c r="I659" t="inlineStr">
        <is>
          <t>H2O AI Engineer</t>
        </is>
      </c>
      <c r="J659"/>
      <c r="K659"/>
      <c r="L659"/>
      <c r="M659"/>
      <c r="N659">
        <v>94.1</v>
      </c>
      <c r="O659" t="inlineStr">
        <is>
          <t>pass</t>
        </is>
      </c>
      <c r="P659">
        <f>HYPERLINK("file:///Users/jingyizhang/Documents/Playground/projects/local_job_resume_pipeline/data/deliverables/resume_portfolio/by_company/arteraai/2026-04-03/69be20c1b106024562838cb7/resume.md","/Users/jingyizhang/Documents/Playground/projects/local_job_resume_pipeline/data/deliverables/resume_portfolio/by_company/arteraai/2026-04-03/69be20c1b106024562838cb7/resume.md")</f>
      </c>
      <c r="Q659"/>
      <c r="R659">
        <f>HYPERLINK("https://jobs.lever.co/artera/fd802bfb-2a0b-4e26-b46f-fa3b910aaf74/apply?source=jobright","https://jobs.lever.co/artera/fd802bfb-2a0b-4e26-b46f-fa3b910aaf74/apply?source=jobright")</f>
      </c>
    </row>
    <row r="660">
      <c r="A660" t="inlineStr">
        <is>
          <t>Google</t>
        </is>
      </c>
      <c r="B660" t="inlineStr">
        <is>
          <t>2026-04-03 08:42:46</t>
        </is>
      </c>
      <c r="C660" t="inlineStr">
        <is>
          <t>69cfc3d6366bb95ba5518b0a</t>
        </is>
      </c>
      <c r="D660" t="inlineStr">
        <is>
          <t>Software Engineer, Network Load Balancing</t>
        </is>
      </c>
      <c r="E660" t="inlineStr">
        <is>
          <t>1_Discovered</t>
        </is>
      </c>
      <c r="F660" t="inlineStr">
        <is>
          <t>fanout_batch</t>
        </is>
      </c>
      <c r="G660" t="inlineStr">
        <is>
          <t>reuse</t>
        </is>
      </c>
      <c r="H660" t="inlineStr">
        <is>
          <t>seed_google_cloud_infra_anchor_candidate</t>
        </is>
      </c>
      <c r="I660" t="inlineStr">
        <is>
          <t>Google Cloud Infra Anchor</t>
        </is>
      </c>
      <c r="J660" t="inlineStr">
        <is>
          <t>google_cloud_infra_mainline</t>
        </is>
      </c>
      <c r="K660" t="inlineStr">
        <is>
          <t>mainline</t>
        </is>
      </c>
      <c r="L660"/>
      <c r="M660"/>
      <c r="N660"/>
      <c r="O660"/>
      <c r="P660"/>
      <c r="Q660"/>
      <c r="R660">
        <f>HYPERLINK("https://careers.google.com/jobs/results/74026807505887942-software-engineer/?src=Online/LinkedIn/linkedin_us&amp;utm_source=linkedin&amp;utm_medium=jobposting&amp;utm_campaign=contract","https://careers.google.com/jobs/results/74026807505887942-software-engineer/?src=Online/LinkedIn/linkedin_us&amp;utm_source=linkedin&amp;utm_medium=jobposting&amp;utm_campaign=contract")</f>
      </c>
    </row>
    <row r="661">
      <c r="A661" t="inlineStr">
        <is>
          <t>EMERGE</t>
        </is>
      </c>
      <c r="B661" t="inlineStr">
        <is>
          <t>2026-04-03 08:42:32</t>
        </is>
      </c>
      <c r="C661" t="inlineStr">
        <is>
          <t>69b355dfae2a534885eab821</t>
        </is>
      </c>
      <c r="D661" t="inlineStr">
        <is>
          <t>Software Engineer</t>
        </is>
      </c>
      <c r="E661" t="inlineStr">
        <is>
          <t>1_Discovered</t>
        </is>
      </c>
      <c r="F661" t="inlineStr">
        <is>
          <t>fanout_batch</t>
        </is>
      </c>
      <c r="G661" t="inlineStr">
        <is>
          <t>reuse</t>
        </is>
      </c>
      <c r="H661" t="inlineStr">
        <is>
          <t>seed_generalist_dotnet_enterprise</t>
        </is>
      </c>
      <c r="I661" t="inlineStr">
        <is>
          <t>Generalist DotNet Enterprise</t>
        </is>
      </c>
      <c r="J661"/>
      <c r="K661"/>
      <c r="L661"/>
      <c r="M661"/>
      <c r="N661"/>
      <c r="O661"/>
      <c r="P661"/>
      <c r="Q661"/>
      <c r="R661">
        <f>HYPERLINK("https://www.linkedin.com/jobs/view/4383981467","https://www.linkedin.com/jobs/view/4383981467")</f>
      </c>
    </row>
    <row r="662">
      <c r="A662" t="inlineStr">
        <is>
          <t>iManage</t>
        </is>
      </c>
      <c r="B662" t="inlineStr">
        <is>
          <t>2026-04-03 08:42:16</t>
        </is>
      </c>
      <c r="C662" t="inlineStr">
        <is>
          <t>69b3356da8ac8e70ff6776b4</t>
        </is>
      </c>
      <c r="D662" t="inlineStr">
        <is>
          <t>Site Reliability Engineer - Data Services</t>
        </is>
      </c>
      <c r="E662" t="inlineStr">
        <is>
          <t>1_Discovered</t>
        </is>
      </c>
      <c r="F662" t="inlineStr">
        <is>
          <t>fanout_batch</t>
        </is>
      </c>
      <c r="G662" t="inlineStr">
        <is>
          <t>reuse</t>
        </is>
      </c>
      <c r="H662" t="inlineStr">
        <is>
          <t>seed_trimedx_platform_multicloud</t>
        </is>
      </c>
      <c r="I662" t="inlineStr">
        <is>
          <t>TRIMEDX Platform Multicloud</t>
        </is>
      </c>
      <c r="J662"/>
      <c r="K662"/>
      <c r="L662"/>
      <c r="M662"/>
      <c r="N662"/>
      <c r="O662"/>
      <c r="P662"/>
      <c r="Q662"/>
      <c r="R662">
        <f>HYPERLINK("http://imanagecom.applytojob.com/apply/0Xczg37kMg?source=LinkedIn","http://imanagecom.applytojob.com/apply/0Xczg37kMg?source=LinkedIn")</f>
      </c>
    </row>
    <row r="663">
      <c r="A663" t="inlineStr">
        <is>
          <t>Braze</t>
        </is>
      </c>
      <c r="B663" t="inlineStr">
        <is>
          <t>2026-04-03 08:41:58</t>
        </is>
      </c>
      <c r="C663" t="inlineStr">
        <is>
          <t>68f02d4e78ba1621431e2f96</t>
        </is>
      </c>
      <c r="D663" t="inlineStr">
        <is>
          <t>Forward-Deployed Data Scientist</t>
        </is>
      </c>
      <c r="E663" t="inlineStr">
        <is>
          <t>1_Discovered</t>
        </is>
      </c>
      <c r="F663" t="inlineStr">
        <is>
          <t>fanout_batch</t>
        </is>
      </c>
      <c r="G663" t="inlineStr">
        <is>
          <t>retarget</t>
        </is>
      </c>
      <c r="H663" t="inlineStr">
        <is>
          <t>seed_h2o_ai_engineer</t>
        </is>
      </c>
      <c r="I663" t="inlineStr">
        <is>
          <t>H2O AI Engineer</t>
        </is>
      </c>
      <c r="J663"/>
      <c r="K663"/>
      <c r="L663"/>
      <c r="M663"/>
      <c r="N663">
        <v>75.5</v>
      </c>
      <c r="O663" t="inlineStr">
        <is>
          <t>fail</t>
        </is>
      </c>
      <c r="P663">
        <f>HYPERLINK("file:///Users/jingyizhang/Documents/Playground/projects/local_job_resume_pipeline/data/deliverables/resume_portfolio/by_company/braze/2026-04-03/68f02d4e78ba1621431e2f96/resume.md","/Users/jingyizhang/Documents/Playground/projects/local_job_resume_pipeline/data/deliverables/resume_portfolio/by_company/braze/2026-04-03/68f02d4e78ba1621431e2f96/resume.md")</f>
      </c>
      <c r="Q663"/>
      <c r="R663">
        <f>HYPERLINK("https://www.linkedin.com/jobs/view/4315352760","https://www.linkedin.com/jobs/view/4315352760")</f>
      </c>
    </row>
    <row r="664">
      <c r="A664" t="inlineStr">
        <is>
          <t>Mass General Brigham</t>
        </is>
      </c>
      <c r="B664" t="inlineStr">
        <is>
          <t>2026-04-03 08:41:56</t>
        </is>
      </c>
      <c r="C664" t="inlineStr">
        <is>
          <t>69cfc3a4cdb525785fba4aff</t>
        </is>
      </c>
      <c r="D664" t="inlineStr">
        <is>
          <t>Data Scientist</t>
        </is>
      </c>
      <c r="E664" t="inlineStr">
        <is>
          <t>1_Discovered</t>
        </is>
      </c>
      <c r="F664" t="inlineStr">
        <is>
          <t>fanout_batch</t>
        </is>
      </c>
      <c r="G664" t="inlineStr">
        <is>
          <t>retarget</t>
        </is>
      </c>
      <c r="H664" t="inlineStr">
        <is>
          <t>seed_bytedance_ml_grad</t>
        </is>
      </c>
      <c r="I664" t="inlineStr">
        <is>
          <t>ByteDance ML Grad</t>
        </is>
      </c>
      <c r="J664"/>
      <c r="K664"/>
      <c r="L664"/>
      <c r="M664"/>
      <c r="N664">
        <v>96.0</v>
      </c>
      <c r="O664" t="inlineStr">
        <is>
          <t>pass</t>
        </is>
      </c>
      <c r="P664">
        <f>HYPERLINK("file:///Users/jingyizhang/Documents/Playground/projects/local_job_resume_pipeline/data/deliverables/resume_portfolio/by_company/mass-general-brigham/2026-04-03/69cfc3a4cdb525785fba4aff/resume.md","/Users/jingyizhang/Documents/Playground/projects/local_job_resume_pipeline/data/deliverables/resume_portfolio/by_company/mass-general-brigham/2026-04-03/69cfc3a4cdb525785fba4aff/resume.md")</f>
      </c>
      <c r="Q664"/>
      <c r="R664">
        <f>HYPERLINK("https://massgeneralbrigham.wd1.myworkdayjobs.com/mgbexternal/job/Boston-MA/Data-Scientist_RQ4058508","https://massgeneralbrigham.wd1.myworkdayjobs.com/mgbexternal/job/Boston-MA/Data-Scientist_RQ4058508")</f>
      </c>
    </row>
    <row r="665">
      <c r="A665" t="inlineStr">
        <is>
          <t>Stryker</t>
        </is>
      </c>
      <c r="B665" t="inlineStr">
        <is>
          <t>2026-04-03 08:41:22</t>
        </is>
      </c>
      <c r="C665" t="inlineStr">
        <is>
          <t>69cfc38254f00230c6d0c4e3</t>
        </is>
      </c>
      <c r="D665" t="inlineStr">
        <is>
          <t>Data Integrity Analyst (Onsite)</t>
        </is>
      </c>
      <c r="E665" t="inlineStr">
        <is>
          <t>1_Discovered</t>
        </is>
      </c>
      <c r="F665" t="inlineStr">
        <is>
          <t>fanout_batch</t>
        </is>
      </c>
      <c r="G665" t="inlineStr">
        <is>
          <t>reuse</t>
        </is>
      </c>
      <c r="H665" t="inlineStr">
        <is>
          <t>seed_plaid_data_scientist</t>
        </is>
      </c>
      <c r="I665" t="inlineStr">
        <is>
          <t>Plaid Data Scientist</t>
        </is>
      </c>
      <c r="J665"/>
      <c r="K665"/>
      <c r="L665"/>
      <c r="M665"/>
      <c r="N665"/>
      <c r="O665"/>
      <c r="P665"/>
      <c r="Q665"/>
      <c r="R665">
        <f>HYPERLINK("https://stryker.wd1.myworkdayjobs.com/StrykerCareers/job/San-Jose-California/Data-Integrity-Analyst--Onsite-_R561707","https://stryker.wd1.myworkdayjobs.com/StrykerCareers/job/San-Jose-California/Data-Integrity-Analyst--Onsite-_R561707")</f>
      </c>
    </row>
    <row r="666">
      <c r="A666" t="inlineStr">
        <is>
          <t>Truist</t>
        </is>
      </c>
      <c r="B666" t="inlineStr">
        <is>
          <t>2026-04-03 08:38:27</t>
        </is>
      </c>
      <c r="C666" t="inlineStr">
        <is>
          <t>69cfc2d3cfdc6132f94358fb</t>
        </is>
      </c>
      <c r="D666" t="inlineStr">
        <is>
          <t>CX Business Data Analyst II</t>
        </is>
      </c>
      <c r="E666" t="inlineStr">
        <is>
          <t>1_Discovered</t>
        </is>
      </c>
      <c r="F666" t="inlineStr">
        <is>
          <t>fanout_batch</t>
        </is>
      </c>
      <c r="G666" t="inlineStr">
        <is>
          <t>reuse</t>
        </is>
      </c>
      <c r="H666" t="inlineStr">
        <is>
          <t>seed_plaid_data_scientist</t>
        </is>
      </c>
      <c r="I666" t="inlineStr">
        <is>
          <t>Plaid Data Scientist</t>
        </is>
      </c>
      <c r="J666"/>
      <c r="K666"/>
      <c r="L666"/>
      <c r="M666"/>
      <c r="N666"/>
      <c r="O666"/>
      <c r="P666"/>
      <c r="Q666"/>
      <c r="R666">
        <f>HYPERLINK("https://truist.wd1.myworkdayjobs.com/careers/job/Charlotte-NC/Business-Data-Analyst-II_R0110813","https://truist.wd1.myworkdayjobs.com/careers/job/Charlotte-NC/Business-Data-Analyst-II_R0110813")</f>
      </c>
    </row>
    <row r="667">
      <c r="A667" t="inlineStr">
        <is>
          <t>ComResource</t>
        </is>
      </c>
      <c r="B667" t="inlineStr">
        <is>
          <t>2026-04-03 08:30:22</t>
        </is>
      </c>
      <c r="C667" t="inlineStr">
        <is>
          <t>69cfc0ee366bb95ba55189f7</t>
        </is>
      </c>
      <c r="D667" t="inlineStr">
        <is>
          <t>Database Engineer</t>
        </is>
      </c>
      <c r="E667" t="inlineStr">
        <is>
          <t>1_Discovered</t>
        </is>
      </c>
      <c r="F667" t="inlineStr">
        <is>
          <t>fanout_batch</t>
        </is>
      </c>
      <c r="G667" t="inlineStr">
        <is>
          <t>reuse</t>
        </is>
      </c>
      <c r="H667" t="inlineStr">
        <is>
          <t>seed_jpmc_data_mlops_anchor</t>
        </is>
      </c>
      <c r="I667" t="inlineStr">
        <is>
          <t>JPMorganChase Data Platform/MLOps Anchor</t>
        </is>
      </c>
      <c r="J667" t="inlineStr">
        <is>
          <t>jpmc_data_mlops_mainline</t>
        </is>
      </c>
      <c r="K667" t="inlineStr">
        <is>
          <t>mainline</t>
        </is>
      </c>
      <c r="L667"/>
      <c r="M667"/>
      <c r="N667"/>
      <c r="O667"/>
      <c r="P667"/>
      <c r="Q667"/>
      <c r="R667">
        <f>HYPERLINK("https://www.linkedin.com/jobs/view/4397302061","https://www.linkedin.com/jobs/view/4397302061")</f>
      </c>
    </row>
    <row r="668">
      <c r="A668" t="inlineStr">
        <is>
          <t>Amazon</t>
        </is>
      </c>
      <c r="B668" t="inlineStr">
        <is>
          <t>2026-04-03 08:29:25</t>
        </is>
      </c>
      <c r="C668" t="inlineStr">
        <is>
          <t>6996d6d0ce78e77b4fdb0c7f</t>
        </is>
      </c>
      <c r="D668" t="inlineStr">
        <is>
          <t>Software Dev Engineer II, Conversational Ad Experiences</t>
        </is>
      </c>
      <c r="E668" t="inlineStr">
        <is>
          <t>1_Discovered</t>
        </is>
      </c>
      <c r="F668" t="inlineStr">
        <is>
          <t>seed_source</t>
        </is>
      </c>
      <c r="G668" t="inlineStr">
        <is>
          <t>seed_source</t>
        </is>
      </c>
      <c r="H668" t="inlineStr">
        <is>
          <t>seed_amazon_conversational_ads_backend</t>
        </is>
      </c>
      <c r="I668" t="inlineStr">
        <is>
          <t>Amazon Conversational Ads Backend</t>
        </is>
      </c>
      <c r="J668" t="inlineStr">
        <is>
          <t>amazon_ai_ads_mainline</t>
        </is>
      </c>
      <c r="K668" t="inlineStr">
        <is>
          <t>mainline</t>
        </is>
      </c>
      <c r="L668"/>
      <c r="M668"/>
      <c r="N668">
        <v>95.0</v>
      </c>
      <c r="O668" t="inlineStr">
        <is>
          <t>pass</t>
        </is>
      </c>
      <c r="P668">
        <f>HYPERLINK("file:///Users/jingyizhang/Documents/Playground/projects/local_job_resume_pipeline/data/deliverables/resume_portfolio/by_company/amazon/2026-04-03/6996d6d0ce78e77b4fdb0c7f/resume.md","/Users/jingyizhang/Documents/Playground/projects/local_job_resume_pipeline/data/deliverables/resume_portfolio/by_company/amazon/2026-04-03/6996d6d0ce78e77b4fdb0c7f/resume.md")</f>
      </c>
      <c r="Q668"/>
      <c r="R668">
        <f>HYPERLINK("https://www.amazon.jobs/jobs/3184395/software-dev-engineer-ii-conversational-ad-experiences?cmpid=SPLICX0248M&amp;utm_source=linkedin.com&amp;utm_campaign=cxro&amp;utm_medium=social_media&amp;utm_content=job_posting&amp;ss=paid","https://www.amazon.jobs/jobs/3184395/software-dev-engineer-ii-conversational-ad-experiences?cmpid=SPLICX0248M&amp;utm_source=linkedin.com&amp;utm_campaign=cxro&amp;utm_medium=social_media&amp;utm_content=job_posting&amp;ss=paid")</f>
      </c>
    </row>
    <row r="669">
      <c r="A669" t="inlineStr">
        <is>
          <t>Microsoft</t>
        </is>
      </c>
      <c r="B669" t="inlineStr">
        <is>
          <t>2026-04-03 08:24:24</t>
        </is>
      </c>
      <c r="C669" t="inlineStr">
        <is>
          <t>69cfbf88cdb525785fba4a4f</t>
        </is>
      </c>
      <c r="D669" t="inlineStr">
        <is>
          <t>Senior Software Engineer</t>
        </is>
      </c>
      <c r="E669" t="inlineStr">
        <is>
          <t>1_Discovered</t>
        </is>
      </c>
      <c r="F669" t="inlineStr">
        <is>
          <t>fanout_batch</t>
        </is>
      </c>
      <c r="G669" t="inlineStr">
        <is>
          <t>reuse</t>
        </is>
      </c>
      <c r="H669" t="inlineStr">
        <is>
          <t>seed_microsoft_coreai_platform_anchor</t>
        </is>
      </c>
      <c r="I669" t="inlineStr">
        <is>
          <t>Microsoft CoreAI/BIC Platform Anchor</t>
        </is>
      </c>
      <c r="J669"/>
      <c r="K669"/>
      <c r="L669"/>
      <c r="M669"/>
      <c r="N669"/>
      <c r="O669"/>
      <c r="P669"/>
      <c r="Q669"/>
      <c r="R669">
        <f>HYPERLINK("https://apply.careers.microsoft.com/careers/job/1970393556619225?utm_source=linkedin&amp;domain=microsoft.com&amp;src=LinkedIn","https://apply.careers.microsoft.com/careers/job/1970393556619225?utm_source=linkedin&amp;domain=microsoft.com&amp;src=LinkedIn")</f>
      </c>
    </row>
    <row r="670">
      <c r="A670" t="inlineStr">
        <is>
          <t>LangChain</t>
        </is>
      </c>
      <c r="B670" t="inlineStr">
        <is>
          <t>2026-04-03 08:23:27</t>
        </is>
      </c>
      <c r="C670" t="inlineStr">
        <is>
          <t>69b3e91c5697383741387f62</t>
        </is>
      </c>
      <c r="D670" t="inlineStr">
        <is>
          <t>Frontend Engineer, AI Observability &amp; Evals Platform</t>
        </is>
      </c>
      <c r="E670" t="inlineStr">
        <is>
          <t>1_Discovered</t>
        </is>
      </c>
      <c r="F670" t="inlineStr">
        <is>
          <t>fanout_batch</t>
        </is>
      </c>
      <c r="G670" t="inlineStr">
        <is>
          <t>retarget</t>
        </is>
      </c>
      <c r="H670" t="inlineStr">
        <is>
          <t>seed_egen_fullstack_node</t>
        </is>
      </c>
      <c r="I670" t="inlineStr">
        <is>
          <t>Egen Fullstack Node</t>
        </is>
      </c>
      <c r="J670"/>
      <c r="K670"/>
      <c r="L670"/>
      <c r="M670"/>
      <c r="N670">
        <v>95.1</v>
      </c>
      <c r="O670" t="inlineStr">
        <is>
          <t>pass</t>
        </is>
      </c>
      <c r="P670">
        <f>HYPERLINK("file:///Users/jingyizhang/Documents/Playground/projects/local_job_resume_pipeline/data/deliverables/resume_portfolio/by_company/langchain/2026-04-03/69b3e91c5697383741387f62/resume.md","/Users/jingyizhang/Documents/Playground/projects/local_job_resume_pipeline/data/deliverables/resume_portfolio/by_company/langchain/2026-04-03/69b3e91c5697383741387f62/resume.md")</f>
      </c>
      <c r="Q670"/>
      <c r="R670">
        <f>HYPERLINK("https://jobs.ashbyhq.com/langchain/f7de4819-e7aa-4dfb-9acd-8b81ad8caf2c/application?utm_source=vxReVqRy6V","https://jobs.ashbyhq.com/langchain/f7de4819-e7aa-4dfb-9acd-8b81ad8caf2c/application?utm_source=vxReVqRy6V")</f>
      </c>
    </row>
    <row r="671">
      <c r="A671" t="inlineStr">
        <is>
          <t>Neuralink</t>
        </is>
      </c>
      <c r="B671" t="inlineStr">
        <is>
          <t>2026-04-03 08:22:35</t>
        </is>
      </c>
      <c r="C671" t="inlineStr">
        <is>
          <t>681c246292e69414c8224d08</t>
        </is>
      </c>
      <c r="D671" t="inlineStr">
        <is>
          <t>Software Engineer, Implant</t>
        </is>
      </c>
      <c r="E671" t="inlineStr">
        <is>
          <t>1_Discovered</t>
        </is>
      </c>
      <c r="F671" t="inlineStr">
        <is>
          <t>seed_validation</t>
        </is>
      </c>
      <c r="G671" t="inlineStr">
        <is>
          <t>reuse</t>
        </is>
      </c>
      <c r="H671" t="inlineStr">
        <is>
          <t>seed_amazon_conversational_ads_backend</t>
        </is>
      </c>
      <c r="I671" t="inlineStr">
        <is>
          <t>Amazon Conversational Ads Backend</t>
        </is>
      </c>
      <c r="J671" t="inlineStr">
        <is>
          <t>amazon_ai_ads_mainline</t>
        </is>
      </c>
      <c r="K671" t="inlineStr">
        <is>
          <t>mainline</t>
        </is>
      </c>
      <c r="L671"/>
      <c r="M671"/>
      <c r="N671"/>
      <c r="O671"/>
      <c r="P671"/>
      <c r="Q671"/>
      <c r="R671">
        <f>HYPERLINK("https://www.linkedin.com/jobs/view/4223673171","https://www.linkedin.com/jobs/view/4223673171")</f>
      </c>
    </row>
    <row r="672">
      <c r="A672" t="inlineStr">
        <is>
          <t>SandboxAQ</t>
        </is>
      </c>
      <c r="B672" t="inlineStr">
        <is>
          <t>2026-04-03 08:22:06</t>
        </is>
      </c>
      <c r="C672" t="inlineStr">
        <is>
          <t>692695aef0beb07232625cba</t>
        </is>
      </c>
      <c r="D672" t="inlineStr">
        <is>
          <t>Senior Research Engineer, CFD Algorithm Development</t>
        </is>
      </c>
      <c r="E672" t="inlineStr">
        <is>
          <t>1_Discovered</t>
        </is>
      </c>
      <c r="F672" t="inlineStr">
        <is>
          <t>fanout_batch</t>
        </is>
      </c>
      <c r="G672" t="inlineStr">
        <is>
          <t>retarget</t>
        </is>
      </c>
      <c r="H672" t="inlineStr">
        <is>
          <t>seed_h2o_ai_engineer</t>
        </is>
      </c>
      <c r="I672" t="inlineStr">
        <is>
          <t>H2O AI Engineer</t>
        </is>
      </c>
      <c r="J672"/>
      <c r="K672"/>
      <c r="L672"/>
      <c r="M672"/>
      <c r="N672">
        <v>83.4</v>
      </c>
      <c r="O672" t="inlineStr">
        <is>
          <t>fail</t>
        </is>
      </c>
      <c r="P672">
        <f>HYPERLINK("file:///Users/jingyizhang/Documents/Playground/projects/local_job_resume_pipeline/data/deliverables/resume_portfolio/by_company/sandboxaq/2026-04-03/692695aef0beb07232625cba/resume.md","/Users/jingyizhang/Documents/Playground/projects/local_job_resume_pipeline/data/deliverables/resume_portfolio/by_company/sandboxaq/2026-04-03/692695aef0beb07232625cba/resume.md")</f>
      </c>
      <c r="Q672"/>
      <c r="R672">
        <f>HYPERLINK("https://www.sandboxaq.com/careers-list?ashby_jid=05db22fc-a62f-4a19-9ff4-c99f7c9b8a9b&amp;utm_source=LinkedInPaid","https://www.sandboxaq.com/careers-list?ashby_jid=05db22fc-a62f-4a19-9ff4-c99f7c9b8a9b&amp;utm_source=LinkedInPaid")</f>
      </c>
    </row>
    <row r="673">
      <c r="A673" t="inlineStr">
        <is>
          <t>Current</t>
        </is>
      </c>
      <c r="B673" t="inlineStr">
        <is>
          <t>2026-04-03 08:17:27</t>
        </is>
      </c>
      <c r="C673" t="inlineStr">
        <is>
          <t>69b341f0ae2a534885eaab6e</t>
        </is>
      </c>
      <c r="D673" t="inlineStr">
        <is>
          <t>Data Analyst, Data Analytics</t>
        </is>
      </c>
      <c r="E673" t="inlineStr">
        <is>
          <t>1_Discovered</t>
        </is>
      </c>
      <c r="F673" t="inlineStr">
        <is>
          <t>fanout_batch</t>
        </is>
      </c>
      <c r="G673" t="inlineStr">
        <is>
          <t>reuse</t>
        </is>
      </c>
      <c r="H673" t="inlineStr">
        <is>
          <t>seed_plaid_data_scientist</t>
        </is>
      </c>
      <c r="I673" t="inlineStr">
        <is>
          <t>Plaid Data Scientist</t>
        </is>
      </c>
      <c r="J673"/>
      <c r="K673"/>
      <c r="L673"/>
      <c r="M673"/>
      <c r="N673"/>
      <c r="O673"/>
      <c r="P673"/>
      <c r="Q673"/>
      <c r="R673">
        <f>HYPERLINK("https://boards.greenhouse.io/embed/job_app?token=7713491&amp;utm_source=jobright","https://boards.greenhouse.io/embed/job_app?token=7713491&amp;utm_source=jobright")</f>
      </c>
    </row>
    <row r="674">
      <c r="A674" t="inlineStr">
        <is>
          <t>Roblox</t>
        </is>
      </c>
      <c r="B674" t="inlineStr">
        <is>
          <t>2026-04-03 08:17:23</t>
        </is>
      </c>
      <c r="C674" t="inlineStr">
        <is>
          <t>69253d8bd47de4798ecceb43</t>
        </is>
      </c>
      <c r="D674" t="inlineStr">
        <is>
          <t>Senior Software Engineer, Engineering Productivity</t>
        </is>
      </c>
      <c r="E674" t="inlineStr">
        <is>
          <t>1_Discovered</t>
        </is>
      </c>
      <c r="F674" t="inlineStr">
        <is>
          <t>retarget_trial</t>
        </is>
      </c>
      <c r="G674" t="inlineStr">
        <is>
          <t>retarget</t>
        </is>
      </c>
      <c r="H674" t="inlineStr">
        <is>
          <t>candidate_itential_generalist_algorithms</t>
        </is>
      </c>
      <c r="I674" t="inlineStr">
        <is>
          <t>Itential Generalist Algorithms</t>
        </is>
      </c>
      <c r="J674"/>
      <c r="K674"/>
      <c r="L674"/>
      <c r="M674"/>
      <c r="N674">
        <v>95.2</v>
      </c>
      <c r="O674" t="inlineStr">
        <is>
          <t>pass</t>
        </is>
      </c>
      <c r="P674">
        <f>HYPERLINK("file:///Users/jingyizhang/Documents/Playground/projects/local_job_resume_pipeline/data/deliverables/resume_portfolio/by_company/roblox/2026-04-03/69253d8bd47de4798ecceb43/resume.md","/Users/jingyizhang/Documents/Playground/projects/local_job_resume_pipeline/data/deliverables/resume_portfolio/by_company/roblox/2026-04-03/69253d8bd47de4798ecceb43/resume.md")</f>
      </c>
      <c r="Q674"/>
      <c r="R674">
        <f>HYPERLINK("https://boards.greenhouse.io/embed/job_app?token=7421234&amp;utm_source=jobright","https://boards.greenhouse.io/embed/job_app?token=7421234&amp;utm_source=jobright")</f>
      </c>
    </row>
    <row r="675">
      <c r="A675" t="inlineStr">
        <is>
          <t>Microsoft</t>
        </is>
      </c>
      <c r="B675" t="inlineStr">
        <is>
          <t>2026-04-03 07:59:46</t>
        </is>
      </c>
      <c r="C675" t="inlineStr">
        <is>
          <t>69cfb9c2cfdc6132f94357dd</t>
        </is>
      </c>
      <c r="D675" t="inlineStr">
        <is>
          <t>Senior Software Engineer</t>
        </is>
      </c>
      <c r="E675" t="inlineStr">
        <is>
          <t>1_Discovered</t>
        </is>
      </c>
      <c r="F675" t="inlineStr">
        <is>
          <t>fanout_batch</t>
        </is>
      </c>
      <c r="G675" t="inlineStr">
        <is>
          <t>reuse</t>
        </is>
      </c>
      <c r="H675" t="inlineStr">
        <is>
          <t>seed_microsoft_coreai_platform_anchor</t>
        </is>
      </c>
      <c r="I675" t="inlineStr">
        <is>
          <t>Microsoft CoreAI/BIC Platform Anchor</t>
        </is>
      </c>
      <c r="J675"/>
      <c r="K675"/>
      <c r="L675"/>
      <c r="M675"/>
      <c r="N675"/>
      <c r="O675"/>
      <c r="P675"/>
      <c r="Q675"/>
      <c r="R675">
        <f>HYPERLINK("https://apply.careers.microsoft.com/careers/job/1970393556855695?utm_source=linkedin&amp;domain=microsoft.com&amp;src=LinkedIn","https://apply.careers.microsoft.com/careers/job/1970393556855695?utm_source=linkedin&amp;domain=microsoft.com&amp;src=LinkedIn")</f>
      </c>
    </row>
    <row r="676">
      <c r="A676" t="inlineStr">
        <is>
          <t>Cargill</t>
        </is>
      </c>
      <c r="B676" t="inlineStr">
        <is>
          <t>2026-04-03 07:58:48</t>
        </is>
      </c>
      <c r="C676" t="inlineStr">
        <is>
          <t>69cfb988891d7b11cfcd5af6</t>
        </is>
      </c>
      <c r="D676" t="inlineStr">
        <is>
          <t>Senior AI/Data Scientist (MSP)</t>
        </is>
      </c>
      <c r="E676" t="inlineStr">
        <is>
          <t>1_Discovered</t>
        </is>
      </c>
      <c r="F676" t="inlineStr">
        <is>
          <t>fanout_batch</t>
        </is>
      </c>
      <c r="G676" t="inlineStr">
        <is>
          <t>retarget</t>
        </is>
      </c>
      <c r="H676" t="inlineStr">
        <is>
          <t>seed_bytedance_ml_grad</t>
        </is>
      </c>
      <c r="I676" t="inlineStr">
        <is>
          <t>ByteDance ML Grad</t>
        </is>
      </c>
      <c r="J676"/>
      <c r="K676"/>
      <c r="L676"/>
      <c r="M676"/>
      <c r="N676">
        <v>93.9</v>
      </c>
      <c r="O676" t="inlineStr">
        <is>
          <t>pass</t>
        </is>
      </c>
      <c r="P676">
        <f>HYPERLINK("file:///Users/jingyizhang/Documents/Playground/projects/local_job_resume_pipeline/data/deliverables/resume_portfolio/by_company/cargill/2026-04-03/69cfb988891d7b11cfcd5af6/resume.md","/Users/jingyizhang/Documents/Playground/projects/local_job_resume_pipeline/data/deliverables/resume_portfolio/by_company/cargill/2026-04-03/69cfb988891d7b11cfcd5af6/resume.md")</f>
      </c>
      <c r="Q676"/>
      <c r="R676">
        <f>HYPERLINK("https://careers.cargill.com/en/job/-/-/23251/93513776160?utm_source=indeed","https://careers.cargill.com/en/job/-/-/23251/93513776160?utm_source=indeed")</f>
      </c>
    </row>
    <row r="677">
      <c r="A677" t="inlineStr">
        <is>
          <t>B3 Consulting Group</t>
        </is>
      </c>
      <c r="B677" t="inlineStr">
        <is>
          <t>2026-04-03 07:56:45</t>
        </is>
      </c>
      <c r="C677" t="inlineStr">
        <is>
          <t>69c542c9aa9a29199e8026b8</t>
        </is>
      </c>
      <c r="D677" t="inlineStr">
        <is>
          <t>Data Scientist</t>
        </is>
      </c>
      <c r="E677" t="inlineStr">
        <is>
          <t>1_Discovered</t>
        </is>
      </c>
      <c r="F677" t="inlineStr">
        <is>
          <t>seed_validation</t>
        </is>
      </c>
      <c r="G677" t="inlineStr">
        <is>
          <t>reuse</t>
        </is>
      </c>
      <c r="H677" t="inlineStr">
        <is>
          <t>seed_plaid_data_scientist</t>
        </is>
      </c>
      <c r="I677" t="inlineStr">
        <is>
          <t>Plaid Data Scientist</t>
        </is>
      </c>
      <c r="J677"/>
      <c r="K677"/>
      <c r="L677"/>
      <c r="M677"/>
      <c r="N677"/>
      <c r="O677"/>
      <c r="P677"/>
      <c r="Q677"/>
      <c r="R677">
        <f>HYPERLINK("https://bli.b3.se/jobs/5564626-data-scientist?utm_source=LinkedIn","https://bli.b3.se/jobs/5564626-data-scientist?utm_source=LinkedIn")</f>
      </c>
    </row>
    <row r="678">
      <c r="A678" t="inlineStr">
        <is>
          <t>Microsoft</t>
        </is>
      </c>
      <c r="B678" t="inlineStr">
        <is>
          <t>2026-04-03 07:55:29</t>
        </is>
      </c>
      <c r="C678" t="inlineStr">
        <is>
          <t>69cfb8c10b098b7a67073920</t>
        </is>
      </c>
      <c r="D678" t="inlineStr">
        <is>
          <t>Software Engineer</t>
        </is>
      </c>
      <c r="E678" t="inlineStr">
        <is>
          <t>1_Discovered</t>
        </is>
      </c>
      <c r="F678" t="inlineStr">
        <is>
          <t>retarget_trial</t>
        </is>
      </c>
      <c r="G678" t="inlineStr">
        <is>
          <t>new_seed</t>
        </is>
      </c>
      <c r="H678" t="inlineStr">
        <is>
          <t>seed_microsoft_coreai_platform_anchor</t>
        </is>
      </c>
      <c r="I678" t="inlineStr">
        <is>
          <t>Microsoft CoreAI Platform Anchor</t>
        </is>
      </c>
      <c r="J678"/>
      <c r="K678"/>
      <c r="L678"/>
      <c r="M678"/>
      <c r="N678">
        <v>94.4</v>
      </c>
      <c r="O678" t="inlineStr">
        <is>
          <t>pass</t>
        </is>
      </c>
      <c r="P678">
        <f>HYPERLINK("file:///Users/jingyizhang/Documents/Playground/projects/local_job_resume_pipeline/data/deliverables/resume_portfolio/by_company/microsoft/2026-04-03/69cfb8c10b098b7a67073920/resume.md","/Users/jingyizhang/Documents/Playground/projects/local_job_resume_pipeline/data/deliverables/resume_portfolio/by_company/microsoft/2026-04-03/69cfb8c10b098b7a67073920/resume.md")</f>
      </c>
      <c r="Q678"/>
      <c r="R678">
        <f>HYPERLINK("https://apply.careers.microsoft.com/careers/job/1970393556752815?utm_source=linkedin&amp;domain=microsoft.com&amp;src=LinkedIn","https://apply.careers.microsoft.com/careers/job/1970393556752815?utm_source=linkedin&amp;domain=microsoft.com&amp;src=LinkedIn")</f>
      </c>
    </row>
    <row r="679">
      <c r="A679" t="inlineStr">
        <is>
          <t>Microsoft</t>
        </is>
      </c>
      <c r="B679" t="inlineStr">
        <is>
          <t>2026-04-03 07:55:29</t>
        </is>
      </c>
      <c r="C679" t="inlineStr">
        <is>
          <t>69cfb8c10b098b7a6707391e</t>
        </is>
      </c>
      <c r="D679" t="inlineStr">
        <is>
          <t>Senior Software Engineer</t>
        </is>
      </c>
      <c r="E679" t="inlineStr">
        <is>
          <t>1_Discovered</t>
        </is>
      </c>
      <c r="F679" t="inlineStr">
        <is>
          <t>fanout_batch</t>
        </is>
      </c>
      <c r="G679" t="inlineStr">
        <is>
          <t>reuse</t>
        </is>
      </c>
      <c r="H679" t="inlineStr">
        <is>
          <t>seed_microsoft_coreai_platform_anchor</t>
        </is>
      </c>
      <c r="I679" t="inlineStr">
        <is>
          <t>Microsoft CoreAI/BIC Platform Anchor</t>
        </is>
      </c>
      <c r="J679"/>
      <c r="K679"/>
      <c r="L679"/>
      <c r="M679"/>
      <c r="N679"/>
      <c r="O679"/>
      <c r="P679"/>
      <c r="Q679"/>
      <c r="R679">
        <f>HYPERLINK("https://apply.careers.microsoft.com/careers/job/1970393556851918?utm_source=linkedin&amp;domain=microsoft.com&amp;src=LinkedIn","https://apply.careers.microsoft.com/careers/job/1970393556851918?utm_source=linkedin&amp;domain=microsoft.com&amp;src=LinkedIn")</f>
      </c>
    </row>
    <row r="680">
      <c r="A680" t="inlineStr">
        <is>
          <t>Microsoft</t>
        </is>
      </c>
      <c r="B680" t="inlineStr">
        <is>
          <t>2026-04-03 07:55:02</t>
        </is>
      </c>
      <c r="C680" t="inlineStr">
        <is>
          <t>69cfb8a60b098b7a67073919</t>
        </is>
      </c>
      <c r="D680" t="inlineStr">
        <is>
          <t>Senior Applied Scientist</t>
        </is>
      </c>
      <c r="E680" t="inlineStr">
        <is>
          <t>1_Discovered</t>
        </is>
      </c>
      <c r="F680" t="inlineStr">
        <is>
          <t>fanout_batch</t>
        </is>
      </c>
      <c r="G680" t="inlineStr">
        <is>
          <t>reuse</t>
        </is>
      </c>
      <c r="H680" t="inlineStr">
        <is>
          <t>seed_linkedin_mle_foundation</t>
        </is>
      </c>
      <c r="I680" t="inlineStr">
        <is>
          <t>LinkedIn MLE Foundation</t>
        </is>
      </c>
      <c r="J680"/>
      <c r="K680"/>
      <c r="L680"/>
      <c r="M680"/>
      <c r="N680"/>
      <c r="O680"/>
      <c r="P680"/>
      <c r="Q680"/>
      <c r="R680">
        <f>HYPERLINK("https://apply.careers.microsoft.com/careers/job/1970393556853053?utm_source=linkedin&amp;domain=microsoft.com&amp;src=LinkedIn","https://apply.careers.microsoft.com/careers/job/1970393556853053?utm_source=linkedin&amp;domain=microsoft.com&amp;src=LinkedIn")</f>
      </c>
    </row>
    <row r="681">
      <c r="A681" t="inlineStr">
        <is>
          <t>Microsoft</t>
        </is>
      </c>
      <c r="B681" t="inlineStr">
        <is>
          <t>2026-04-03 07:54:30</t>
        </is>
      </c>
      <c r="C681" t="inlineStr">
        <is>
          <t>69cfb886cfdc6132f9435788</t>
        </is>
      </c>
      <c r="D681" t="inlineStr">
        <is>
          <t>Senior Applied AI Engineer</t>
        </is>
      </c>
      <c r="E681" t="inlineStr">
        <is>
          <t>1_Discovered</t>
        </is>
      </c>
      <c r="F681" t="inlineStr">
        <is>
          <t>fanout_batch</t>
        </is>
      </c>
      <c r="G681" t="inlineStr">
        <is>
          <t>reuse</t>
        </is>
      </c>
      <c r="H681" t="inlineStr">
        <is>
          <t>seed_microsoft_polyglot_generalist</t>
        </is>
      </c>
      <c r="I681" t="inlineStr">
        <is>
          <t>Microsoft Polyglot Generalist</t>
        </is>
      </c>
      <c r="J681"/>
      <c r="K681"/>
      <c r="L681"/>
      <c r="M681"/>
      <c r="N681"/>
      <c r="O681"/>
      <c r="P681"/>
      <c r="Q681"/>
      <c r="R681">
        <f>HYPERLINK("https://apply.careers.microsoft.com/careers/job/1970393556856283?utm_source=linkedin&amp;domain=microsoft.com&amp;src=LinkedIn","https://apply.careers.microsoft.com/careers/job/1970393556856283?utm_source=linkedin&amp;domain=microsoft.com&amp;src=LinkedIn")</f>
      </c>
    </row>
    <row r="682">
      <c r="A682" t="inlineStr">
        <is>
          <t>Elevance Health</t>
        </is>
      </c>
      <c r="B682" t="inlineStr">
        <is>
          <t>2026-04-03 07:50:14</t>
        </is>
      </c>
      <c r="C682" t="inlineStr">
        <is>
          <t>69cfb7860b098b7a670734ba</t>
        </is>
      </c>
      <c r="D682" t="inlineStr">
        <is>
          <t>AI Machine Learning Scientist Associate</t>
        </is>
      </c>
      <c r="E682" t="inlineStr">
        <is>
          <t>1_Discovered</t>
        </is>
      </c>
      <c r="F682" t="inlineStr">
        <is>
          <t>fanout_batch</t>
        </is>
      </c>
      <c r="G682" t="inlineStr">
        <is>
          <t>reuse</t>
        </is>
      </c>
      <c r="H682" t="inlineStr">
        <is>
          <t>seed_bytedance_ml_grad</t>
        </is>
      </c>
      <c r="I682" t="inlineStr">
        <is>
          <t>ByteDance ML Grad</t>
        </is>
      </c>
      <c r="J682"/>
      <c r="K682"/>
      <c r="L682"/>
      <c r="M682"/>
      <c r="N682"/>
      <c r="O682"/>
      <c r="P682"/>
      <c r="Q682"/>
      <c r="R682">
        <f>HYPERLINK("https://elevancehealth.wd1.myworkdayjobs.com/ANT/job/NY-NEW-YORK-ONE-PENN-PLAZA-35TH-AND-36TH-FL/AI-Machine-Learning-Scientist-Associate_JR187470","https://elevancehealth.wd1.myworkdayjobs.com/ANT/job/NY-NEW-YORK-ONE-PENN-PLAZA-35TH-AND-36TH-FL/AI-Machine-Learning-Scientist-Associate_JR187470")</f>
      </c>
    </row>
    <row r="683">
      <c r="A683" t="inlineStr">
        <is>
          <t>ASSA ABLOY Group</t>
        </is>
      </c>
      <c r="B683" t="inlineStr">
        <is>
          <t>2026-04-03 07:49:39</t>
        </is>
      </c>
      <c r="C683" t="inlineStr">
        <is>
          <t>69979d2c81476f6176afb810</t>
        </is>
      </c>
      <c r="D683" t="inlineStr">
        <is>
          <t>Software Engineer</t>
        </is>
      </c>
      <c r="E683" t="inlineStr">
        <is>
          <t>1_Discovered</t>
        </is>
      </c>
      <c r="F683" t="inlineStr">
        <is>
          <t>fanout_batch</t>
        </is>
      </c>
      <c r="G683" t="inlineStr">
        <is>
          <t>reuse</t>
        </is>
      </c>
      <c r="H683" t="inlineStr">
        <is>
          <t>seed_paypal_java_backend</t>
        </is>
      </c>
      <c r="I683" t="inlineStr">
        <is>
          <t>PayPal Java Backend</t>
        </is>
      </c>
      <c r="J683"/>
      <c r="K683"/>
      <c r="L683"/>
      <c r="M683"/>
      <c r="N683"/>
      <c r="O683"/>
      <c r="P683"/>
      <c r="Q683"/>
      <c r="R683">
        <f>HYPERLINK("https://assaabloy.jobs2web.com/job/New-Haven-Software-Engineer-CT-06511/1366009133/?utm_source=LINKEDIN&amp;utm_medium=referrer","https://assaabloy.jobs2web.com/job/New-Haven-Software-Engineer-CT-06511/1366009133/?utm_source=LINKEDIN&amp;utm_medium=referrer")</f>
      </c>
    </row>
    <row r="684">
      <c r="A684" t="inlineStr">
        <is>
          <t>Google</t>
        </is>
      </c>
      <c r="B684" t="inlineStr">
        <is>
          <t>2026-04-03 07:45:25</t>
        </is>
      </c>
      <c r="C684" t="inlineStr">
        <is>
          <t>69b2b893ad360c0340a79c07</t>
        </is>
      </c>
      <c r="D684" t="inlineStr">
        <is>
          <t>GenAI Software Engineer, Workspace Drive</t>
        </is>
      </c>
      <c r="E684" t="inlineStr">
        <is>
          <t>1_Discovered</t>
        </is>
      </c>
      <c r="F684" t="inlineStr">
        <is>
          <t>seed_source</t>
        </is>
      </c>
      <c r="G684" t="inlineStr">
        <is>
          <t>seed_source</t>
        </is>
      </c>
      <c r="H684" t="inlineStr">
        <is>
          <t>seed_google_geo_aiml_anchor</t>
        </is>
      </c>
      <c r="I684" t="inlineStr">
        <is>
          <t>Google Workspace/Geo AIML Anchor</t>
        </is>
      </c>
      <c r="J684" t="inlineStr">
        <is>
          <t>google_product_ai_mainline</t>
        </is>
      </c>
      <c r="K684" t="inlineStr">
        <is>
          <t>mainline</t>
        </is>
      </c>
      <c r="L684"/>
      <c r="M684"/>
      <c r="N684">
        <v>95.8</v>
      </c>
      <c r="O684" t="inlineStr">
        <is>
          <t>pass</t>
        </is>
      </c>
      <c r="P684">
        <f>HYPERLINK("file:///Users/jingyizhang/Documents/Playground/projects/local_job_resume_pipeline/data/deliverables/resume_portfolio/by_company/google/2026-04-03/69b2b893ad360c0340a79c07/resume.md","/Users/jingyizhang/Documents/Playground/projects/local_job_resume_pipeline/data/deliverables/resume_portfolio/by_company/google/2026-04-03/69b2b893ad360c0340a79c07/resume.md")</f>
      </c>
      <c r="Q684"/>
      <c r="R684">
        <f>HYPERLINK("https://careers.google.com/jobs/results/120333721646572230-genai-software-engineer/?src=Online/LinkedIn/linkedin_us&amp;utm_source=linkedin&amp;utm_medium=jobposting&amp;utm_campaign=contract","https://careers.google.com/jobs/results/120333721646572230-genai-software-engineer/?src=Online/LinkedIn/linkedin_us&amp;utm_source=linkedin&amp;utm_medium=jobposting&amp;utm_campaign=contract")</f>
      </c>
    </row>
    <row r="685">
      <c r="A685" t="inlineStr">
        <is>
          <t>Microsoft</t>
        </is>
      </c>
      <c r="B685" t="inlineStr">
        <is>
          <t>2026-04-03 07:44:22</t>
        </is>
      </c>
      <c r="C685" t="inlineStr">
        <is>
          <t>69cfb626cdb525785fba4440</t>
        </is>
      </c>
      <c r="D685" t="inlineStr">
        <is>
          <t>Software Engineering</t>
        </is>
      </c>
      <c r="E685" t="inlineStr">
        <is>
          <t>1_Discovered</t>
        </is>
      </c>
      <c r="F685" t="inlineStr">
        <is>
          <t>fanout_batch</t>
        </is>
      </c>
      <c r="G685" t="inlineStr">
        <is>
          <t>reuse</t>
        </is>
      </c>
      <c r="H685" t="inlineStr">
        <is>
          <t>seed_microsoft_coreai_platform_anchor</t>
        </is>
      </c>
      <c r="I685" t="inlineStr">
        <is>
          <t>Microsoft CoreAI/BIC Platform Anchor</t>
        </is>
      </c>
      <c r="J685"/>
      <c r="K685"/>
      <c r="L685"/>
      <c r="M685"/>
      <c r="N685"/>
      <c r="O685"/>
      <c r="P685"/>
      <c r="Q685"/>
      <c r="R685">
        <f>HYPERLINK("https://apply.careers.microsoft.com/careers/job/1970393556856313?utm_source=linkedin&amp;domain=microsoft.com&amp;src=LinkedIn","https://apply.careers.microsoft.com/careers/job/1970393556856313?utm_source=linkedin&amp;domain=microsoft.com&amp;src=LinkedIn")</f>
      </c>
    </row>
    <row r="686">
      <c r="A686" t="inlineStr">
        <is>
          <t>Clarivate</t>
        </is>
      </c>
      <c r="B686" t="inlineStr">
        <is>
          <t>2026-04-03 07:43:49</t>
        </is>
      </c>
      <c r="C686" t="inlineStr">
        <is>
          <t>695fc28ea112b402660e6dc7</t>
        </is>
      </c>
      <c r="D686" t="inlineStr">
        <is>
          <t>Senior Data Scientist (NLP)</t>
        </is>
      </c>
      <c r="E686" t="inlineStr">
        <is>
          <t>1_Discovered</t>
        </is>
      </c>
      <c r="F686" t="inlineStr">
        <is>
          <t>fanout_batch</t>
        </is>
      </c>
      <c r="G686" t="inlineStr">
        <is>
          <t>retarget</t>
        </is>
      </c>
      <c r="H686" t="inlineStr">
        <is>
          <t>seed_linkedin_mle_foundation</t>
        </is>
      </c>
      <c r="I686" t="inlineStr">
        <is>
          <t>LinkedIn MLE Foundation</t>
        </is>
      </c>
      <c r="J686"/>
      <c r="K686"/>
      <c r="L686"/>
      <c r="M686"/>
      <c r="N686">
        <v>96.7</v>
      </c>
      <c r="O686" t="inlineStr">
        <is>
          <t>pass</t>
        </is>
      </c>
      <c r="P686">
        <f>HYPERLINK("file:///Users/jingyizhang/Documents/Playground/projects/local_job_resume_pipeline/data/deliverables/resume_portfolio/by_company/clarivate/2026-04-03/695fc28ea112b402660e6dc7/resume.md","/Users/jingyizhang/Documents/Playground/projects/local_job_resume_pipeline/data/deliverables/resume_portfolio/by_company/clarivate/2026-04-03/695fc28ea112b402660e6dc7/resume.md")</f>
      </c>
      <c r="Q686"/>
      <c r="R686">
        <f>HYPERLINK("https://careers.clarivate.com/job/CLACLAGBJREQ134341EXTERNALENGB/Senior-Data-Scientist-NLP?utm_source=linkedin&amp;utm_medium=phenom-feeds","https://careers.clarivate.com/job/CLACLAGBJREQ134341EXTERNALENGB/Senior-Data-Scientist-NLP?utm_source=linkedin&amp;utm_medium=phenom-feeds")</f>
      </c>
    </row>
    <row r="687">
      <c r="A687" t="inlineStr">
        <is>
          <t>Latitude AI</t>
        </is>
      </c>
      <c r="B687" t="inlineStr">
        <is>
          <t>2026-04-03 07:41:27</t>
        </is>
      </c>
      <c r="C687" t="inlineStr">
        <is>
          <t>69a3bdb2b600907a9629bd3e</t>
        </is>
      </c>
      <c r="D687" t="inlineStr">
        <is>
          <t>Senior Software Engineer - Cloud Platform</t>
        </is>
      </c>
      <c r="E687" t="inlineStr">
        <is>
          <t>1_Discovered</t>
        </is>
      </c>
      <c r="F687" t="inlineStr">
        <is>
          <t>fanout_batch</t>
        </is>
      </c>
      <c r="G687" t="inlineStr">
        <is>
          <t>retarget</t>
        </is>
      </c>
      <c r="H687" t="inlineStr">
        <is>
          <t>seed_trimedx_platform_multicloud</t>
        </is>
      </c>
      <c r="I687" t="inlineStr">
        <is>
          <t>TRIMEDX Platform Multicloud</t>
        </is>
      </c>
      <c r="J687"/>
      <c r="K687"/>
      <c r="L687"/>
      <c r="M687"/>
      <c r="N687">
        <v>96.0</v>
      </c>
      <c r="O687" t="inlineStr">
        <is>
          <t>pass</t>
        </is>
      </c>
      <c r="P687">
        <f>HYPERLINK("file:///Users/jingyizhang/Documents/Playground/projects/local_job_resume_pipeline/data/deliverables/resume_portfolio/by_company/latitude-ai/2026-04-03/69a3bdb2b600907a9629bd3e/resume.md","/Users/jingyizhang/Documents/Playground/projects/local_job_resume_pipeline/data/deliverables/resume_portfolio/by_company/latitude-ai/2026-04-03/69a3bdb2b600907a9629bd3e/resume.md")</f>
      </c>
      <c r="Q687"/>
      <c r="R687">
        <f>HYPERLINK("https://boards.greenhouse.io/embed/job_app?token=7614470&amp;utm_source=jobright","https://boards.greenhouse.io/embed/job_app?token=7614470&amp;utm_source=jobright")</f>
      </c>
    </row>
    <row r="688">
      <c r="A688" t="inlineStr">
        <is>
          <t>Zipline</t>
        </is>
      </c>
      <c r="B688" t="inlineStr">
        <is>
          <t>2026-04-03 07:41:06</t>
        </is>
      </c>
      <c r="C688" t="inlineStr">
        <is>
          <t>6941779414ee092a69ffa1e4</t>
        </is>
      </c>
      <c r="D688" t="inlineStr">
        <is>
          <t>Software Engineer - Systems Validation</t>
        </is>
      </c>
      <c r="E688" t="inlineStr">
        <is>
          <t>1_Discovered</t>
        </is>
      </c>
      <c r="F688" t="inlineStr">
        <is>
          <t>fanout_batch</t>
        </is>
      </c>
      <c r="G688" t="inlineStr">
        <is>
          <t>retarget</t>
        </is>
      </c>
      <c r="H688" t="inlineStr">
        <is>
          <t>seed_magnite_sdet</t>
        </is>
      </c>
      <c r="I688" t="inlineStr">
        <is>
          <t>Magnite SDET</t>
        </is>
      </c>
      <c r="J688"/>
      <c r="K688"/>
      <c r="L688"/>
      <c r="M688"/>
      <c r="N688">
        <v>93.4</v>
      </c>
      <c r="O688" t="inlineStr">
        <is>
          <t>pass</t>
        </is>
      </c>
      <c r="P688">
        <f>HYPERLINK("file:///Users/jingyizhang/Documents/Playground/projects/local_job_resume_pipeline/data/deliverables/resume_portfolio/by_company/zipline/2026-04-03/6941779414ee092a69ffa1e4/resume.md","/Users/jingyizhang/Documents/Playground/projects/local_job_resume_pipeline/data/deliverables/resume_portfolio/by_company/zipline/2026-04-03/6941779414ee092a69ffa1e4/resume.md")</f>
      </c>
      <c r="Q688"/>
      <c r="R688">
        <f>HYPERLINK("https://boards.greenhouse.io/embed/job_app?token=7564211003&amp;utm_source=jobright","https://boards.greenhouse.io/embed/job_app?token=7564211003&amp;utm_source=jobright")</f>
      </c>
    </row>
    <row r="689">
      <c r="A689" t="inlineStr">
        <is>
          <t>Goken America</t>
        </is>
      </c>
      <c r="B689" t="inlineStr">
        <is>
          <t>2026-04-03 07:40:52</t>
        </is>
      </c>
      <c r="C689" t="inlineStr">
        <is>
          <t>69cfb554366bb95ba5518396</t>
        </is>
      </c>
      <c r="D689" t="inlineStr">
        <is>
          <t>Software Engineer - AI Capabilities Integration</t>
        </is>
      </c>
      <c r="E689" t="inlineStr">
        <is>
          <t>1_Discovered</t>
        </is>
      </c>
      <c r="F689" t="inlineStr">
        <is>
          <t>seed_validation</t>
        </is>
      </c>
      <c r="G689" t="inlineStr">
        <is>
          <t>reuse</t>
        </is>
      </c>
      <c r="H689" t="inlineStr">
        <is>
          <t>seed_gm_genai</t>
        </is>
      </c>
      <c r="I689" t="inlineStr">
        <is>
          <t>GM Financial GenAI</t>
        </is>
      </c>
      <c r="J689"/>
      <c r="K689"/>
      <c r="L689"/>
      <c r="M689"/>
      <c r="N689"/>
      <c r="O689"/>
      <c r="P689"/>
      <c r="Q689"/>
      <c r="R689">
        <f>HYPERLINK("https://www.linkedin.com/jobs/view/4397563307","https://www.linkedin.com/jobs/view/4397563307")</f>
      </c>
    </row>
    <row r="690">
      <c r="A690" t="inlineStr">
        <is>
          <t>Micron Technology</t>
        </is>
      </c>
      <c r="B690" t="inlineStr">
        <is>
          <t>2026-04-03 07:40:46</t>
        </is>
      </c>
      <c r="C690" t="inlineStr">
        <is>
          <t>69cfb54e891d7b11cfcd5524</t>
        </is>
      </c>
      <c r="D690" t="inlineStr">
        <is>
          <t>Senior Machine Learning Engineer</t>
        </is>
      </c>
      <c r="E690" t="inlineStr">
        <is>
          <t>1_Discovered</t>
        </is>
      </c>
      <c r="F690" t="inlineStr">
        <is>
          <t>fanout_batch</t>
        </is>
      </c>
      <c r="G690" t="inlineStr">
        <is>
          <t>retarget</t>
        </is>
      </c>
      <c r="H690" t="inlineStr">
        <is>
          <t>seed_h2o_ai_engineer</t>
        </is>
      </c>
      <c r="I690" t="inlineStr">
        <is>
          <t>H2O AI Engineer</t>
        </is>
      </c>
      <c r="J690"/>
      <c r="K690"/>
      <c r="L690"/>
      <c r="M690"/>
      <c r="N690">
        <v>94.0</v>
      </c>
      <c r="O690" t="inlineStr">
        <is>
          <t>pass</t>
        </is>
      </c>
      <c r="P690">
        <f>HYPERLINK("file:///Users/jingyizhang/Documents/Playground/projects/local_job_resume_pipeline/data/deliverables/resume_portfolio/by_company/micron-technology/2026-04-03/69cfb54e891d7b11cfcd5524/resume.md","/Users/jingyizhang/Documents/Playground/projects/local_job_resume_pipeline/data/deliverables/resume_portfolio/by_company/micron-technology/2026-04-03/69cfb54e891d7b11cfcd5524/resume.md")</f>
      </c>
      <c r="Q690"/>
      <c r="R690">
        <f>HYPERLINK("https://careers.micron.com/careers/job/40329736?utm_source=linkedin&amp;domain=micron.com&amp;src=JB-12600","https://careers.micron.com/careers/job/40329736?utm_source=linkedin&amp;domain=micron.com&amp;src=JB-12600")</f>
      </c>
    </row>
    <row r="691">
      <c r="A691" t="inlineStr">
        <is>
          <t>Google</t>
        </is>
      </c>
      <c r="B691" t="inlineStr">
        <is>
          <t>2026-04-03 07:40:04</t>
        </is>
      </c>
      <c r="C691" t="inlineStr">
        <is>
          <t>69b3092cae2a534885ea5276</t>
        </is>
      </c>
      <c r="D691" t="inlineStr">
        <is>
          <t>Software Engineer, Data and APIs, Quantum AI</t>
        </is>
      </c>
      <c r="E691" t="inlineStr">
        <is>
          <t>1_Discovered</t>
        </is>
      </c>
      <c r="F691" t="inlineStr">
        <is>
          <t>fanout_batch</t>
        </is>
      </c>
      <c r="G691" t="inlineStr">
        <is>
          <t>reuse</t>
        </is>
      </c>
      <c r="H691" t="inlineStr">
        <is>
          <t>seed_google_cloud_infra_anchor_candidate</t>
        </is>
      </c>
      <c r="I691" t="inlineStr">
        <is>
          <t>Google Cloud Infra Anchor</t>
        </is>
      </c>
      <c r="J691" t="inlineStr">
        <is>
          <t>google_cloud_infra_mainline</t>
        </is>
      </c>
      <c r="K691" t="inlineStr">
        <is>
          <t>mainline</t>
        </is>
      </c>
      <c r="L691"/>
      <c r="M691"/>
      <c r="N691"/>
      <c r="O691"/>
      <c r="P691"/>
      <c r="Q691"/>
      <c r="R691">
        <f>HYPERLINK("https://careers.google.com/jobs/results/115158801450967750-software-engineer/?src=Online/LinkedIn/linkedin_us&amp;utm_source=linkedin&amp;utm_medium=jobposting&amp;utm_campaign=contract","https://careers.google.com/jobs/results/115158801450967750-software-engineer/?src=Online/LinkedIn/linkedin_us&amp;utm_source=linkedin&amp;utm_medium=jobposting&amp;utm_campaign=contract")</f>
      </c>
    </row>
    <row r="692">
      <c r="A692" t="inlineStr">
        <is>
          <t>Northwestern University</t>
        </is>
      </c>
      <c r="B692" t="inlineStr">
        <is>
          <t>2026-04-03 07:38:37</t>
        </is>
      </c>
      <c r="C692" t="inlineStr">
        <is>
          <t>69cf2b52cdb525785fb9f285</t>
        </is>
      </c>
      <c r="D692" t="inlineStr">
        <is>
          <t>Developer Associate (hybrid)</t>
        </is>
      </c>
      <c r="E692" t="inlineStr">
        <is>
          <t>1_Discovered</t>
        </is>
      </c>
      <c r="F692" t="inlineStr">
        <is>
          <t>fanout_batch</t>
        </is>
      </c>
      <c r="G692" t="inlineStr">
        <is>
          <t>retarget</t>
        </is>
      </c>
      <c r="H692" t="inlineStr">
        <is>
          <t>seed_microsoft_polyglot_generalist</t>
        </is>
      </c>
      <c r="I692" t="inlineStr">
        <is>
          <t>Microsoft Polyglot Generalist</t>
        </is>
      </c>
      <c r="J692"/>
      <c r="K692"/>
      <c r="L692"/>
      <c r="M692"/>
      <c r="N692">
        <v>95.6</v>
      </c>
      <c r="O692" t="inlineStr">
        <is>
          <t>pass</t>
        </is>
      </c>
      <c r="P692">
        <f>HYPERLINK("file:///Users/jingyizhang/Documents/Playground/projects/local_job_resume_pipeline/data/deliverables/resume_portfolio/by_company/northwestern-university/2026-04-03/69cf2b52cdb525785fb9f285/resume.md","/Users/jingyizhang/Documents/Playground/projects/local_job_resume_pipeline/data/deliverables/resume_portfolio/by_company/northwestern-university/2026-04-03/69cf2b52cdb525785fb9f285/resume.md")</f>
      </c>
      <c r="Q692"/>
      <c r="R692">
        <f>HYPERLINK("https://careers.northwestern.edu/psc/hrnu_er/EMPLOYEE/HRMS/c/HRS_HRAM_FL.HRS_CG_SEARCH_FL.GBL?Page=HRS_APP_JBPST_FL&amp;Action=U&amp;FOCUS=Applicant&amp;SiteId=1&amp;JobOpeningId=53373&amp;PostingSeq=1&amp;utm_source=linkedin&amp;utm_medium=jobboard","https://careers.northwestern.edu/psc/hrnu_er/EMPLOYEE/HRMS/c/HRS_HRAM_FL.HRS_CG_SEARCH_FL.GBL?Page=HRS_APP_JBPST_FL&amp;Action=U&amp;FOCUS=Applicant&amp;SiteId=1&amp;JobOpeningId=53373&amp;PostingSeq=1&amp;utm_source=linkedin&amp;utm_medium=jobboard")</f>
      </c>
    </row>
    <row r="693">
      <c r="A693" t="inlineStr">
        <is>
          <t>Google</t>
        </is>
      </c>
      <c r="B693" t="inlineStr">
        <is>
          <t>2026-04-03 07:38:37</t>
        </is>
      </c>
      <c r="C693" t="inlineStr">
        <is>
          <t>69b401023b74eb1e2c810d0a</t>
        </is>
      </c>
      <c r="D693" t="inlineStr">
        <is>
          <t>Software Engineer III, Looker Modeling</t>
        </is>
      </c>
      <c r="E693" t="inlineStr">
        <is>
          <t>1_Discovered</t>
        </is>
      </c>
      <c r="F693" t="inlineStr">
        <is>
          <t>fanout_batch</t>
        </is>
      </c>
      <c r="G693" t="inlineStr">
        <is>
          <t>reuse</t>
        </is>
      </c>
      <c r="H693" t="inlineStr">
        <is>
          <t>seed_google_cloud_infra_anchor_candidate</t>
        </is>
      </c>
      <c r="I693" t="inlineStr">
        <is>
          <t>Google Cloud Infra Anchor</t>
        </is>
      </c>
      <c r="J693" t="inlineStr">
        <is>
          <t>google_cloud_infra_mainline</t>
        </is>
      </c>
      <c r="K693" t="inlineStr">
        <is>
          <t>mainline</t>
        </is>
      </c>
      <c r="L693"/>
      <c r="M693"/>
      <c r="N693"/>
      <c r="O693"/>
      <c r="P693"/>
      <c r="Q693"/>
      <c r="R693">
        <f>HYPERLINK("https://careers.google.com/jobs/results/93655686906290886-software-engineer-iii/?utm_medium=jobposting&amp;utm_source=linkedIn","https://careers.google.com/jobs/results/93655686906290886-software-engineer-iii/?utm_medium=jobposting&amp;utm_source=linkedIn")</f>
      </c>
    </row>
    <row r="694">
      <c r="A694" t="inlineStr">
        <is>
          <t>Scale AI</t>
        </is>
      </c>
      <c r="B694" t="inlineStr">
        <is>
          <t>2026-04-03 07:37:59</t>
        </is>
      </c>
      <c r="C694" t="inlineStr">
        <is>
          <t>695a9e86aa05c26e7ab42f31</t>
        </is>
      </c>
      <c r="D694" t="inlineStr">
        <is>
          <t>Software Engineer, Public Sector</t>
        </is>
      </c>
      <c r="E694" t="inlineStr">
        <is>
          <t>1_Discovered</t>
        </is>
      </c>
      <c r="F694" t="inlineStr">
        <is>
          <t>seed_validation</t>
        </is>
      </c>
      <c r="G694" t="inlineStr">
        <is>
          <t>reuse</t>
        </is>
      </c>
      <c r="H694" t="inlineStr">
        <is>
          <t>seed_fullstack_java_react_enterprise</t>
        </is>
      </c>
      <c r="I694" t="inlineStr">
        <is>
          <t>Fullstack Java React Enterprise</t>
        </is>
      </c>
      <c r="J694"/>
      <c r="K694"/>
      <c r="L694"/>
      <c r="M694"/>
      <c r="N694"/>
      <c r="O694"/>
      <c r="P694"/>
      <c r="Q694"/>
      <c r="R694">
        <f>HYPERLINK("https://boards.greenhouse.io/embed/job_app?token=4302243005&amp;utm_source=jobright","https://boards.greenhouse.io/embed/job_app?token=4302243005&amp;utm_source=jobright")</f>
      </c>
    </row>
    <row r="695">
      <c r="A695" t="inlineStr">
        <is>
          <t>Sezzle</t>
        </is>
      </c>
      <c r="B695" t="inlineStr">
        <is>
          <t>2026-04-03 07:33:31</t>
        </is>
      </c>
      <c r="C695" t="inlineStr">
        <is>
          <t>6917535b3ea85638ae1c9c1c</t>
        </is>
      </c>
      <c r="D695" t="inlineStr">
        <is>
          <t>Junior Software Engineer with Accounting Experience (LATAM)</t>
        </is>
      </c>
      <c r="E695" t="inlineStr">
        <is>
          <t>1_Discovered</t>
        </is>
      </c>
      <c r="F695" t="inlineStr">
        <is>
          <t>fanout_batch</t>
        </is>
      </c>
      <c r="G695" t="inlineStr">
        <is>
          <t>retarget</t>
        </is>
      </c>
      <c r="H695" t="inlineStr">
        <is>
          <t>seed_codex_amazon_sde</t>
        </is>
      </c>
      <c r="I695" t="inlineStr">
        <is>
          <t>Amazon SDE</t>
        </is>
      </c>
      <c r="J695" t="inlineStr">
        <is>
          <t>amazon_platform_mainline</t>
        </is>
      </c>
      <c r="K695" t="inlineStr">
        <is>
          <t>mainline</t>
        </is>
      </c>
      <c r="L695"/>
      <c r="M695"/>
      <c r="N695">
        <v>94.1</v>
      </c>
      <c r="O695" t="inlineStr">
        <is>
          <t>pass</t>
        </is>
      </c>
      <c r="P695">
        <f>HYPERLINK("file:///Users/jingyizhang/Documents/Playground/projects/local_job_resume_pipeline/data/deliverables/resume_portfolio/by_company/sezzle/2026-04-03/6917535b3ea85638ae1c9c1c/resume.md","/Users/jingyizhang/Documents/Playground/projects/local_job_resume_pipeline/data/deliverables/resume_portfolio/by_company/sezzle/2026-04-03/6917535b3ea85638ae1c9c1c/resume.md")</f>
      </c>
      <c r="Q695"/>
      <c r="R695">
        <f>HYPERLINK("https://boards.greenhouse.io/embed/job_app?token=6668065003&amp;utm_source=jobright","https://boards.greenhouse.io/embed/job_app?token=6668065003&amp;utm_source=jobright")</f>
      </c>
    </row>
    <row r="696">
      <c r="A696" t="inlineStr">
        <is>
          <t>Amazon Web Services (AWS)</t>
        </is>
      </c>
      <c r="B696" t="inlineStr">
        <is>
          <t>2026-04-03 07:29:29</t>
        </is>
      </c>
      <c r="C696" t="inlineStr">
        <is>
          <t>69cfb2a9cfdc6132f9435175</t>
        </is>
      </c>
      <c r="D696" t="inlineStr">
        <is>
          <t>Software Development Engineer, Amazon Connect Contact Lens</t>
        </is>
      </c>
      <c r="E696" t="inlineStr">
        <is>
          <t>1_Discovered</t>
        </is>
      </c>
      <c r="F696" t="inlineStr">
        <is>
          <t>fanout_batch</t>
        </is>
      </c>
      <c r="G696" t="inlineStr">
        <is>
          <t>reuse</t>
        </is>
      </c>
      <c r="H696" t="inlineStr">
        <is>
          <t>seed_aws_generalist_embedded</t>
        </is>
      </c>
      <c r="I696" t="inlineStr">
        <is>
          <t>AWS Generalist Embedded</t>
        </is>
      </c>
      <c r="J696"/>
      <c r="K696"/>
      <c r="L696"/>
      <c r="M696"/>
      <c r="N696"/>
      <c r="O696"/>
      <c r="P696"/>
      <c r="Q696"/>
      <c r="R696">
        <f>HYPERLINK("https://www.amazon.jobs/jobs/10382825/software-development-engineer-amazon-connect-contact-lens?cmpid=SPLICX0248M&amp;utm_source=linkedin.com&amp;utm_campaign=cxro&amp;utm_medium=social_media&amp;utm_content=job_posting&amp;ss=paid","https://www.amazon.jobs/jobs/10382825/software-development-engineer-amazon-connect-contact-lens?cmpid=SPLICX0248M&amp;utm_source=linkedin.com&amp;utm_campaign=cxro&amp;utm_medium=social_media&amp;utm_content=job_posting&amp;ss=paid")</f>
      </c>
    </row>
    <row r="697">
      <c r="A697" t="inlineStr">
        <is>
          <t>Amazon</t>
        </is>
      </c>
      <c r="B697" t="inlineStr">
        <is>
          <t>2026-04-03 07:29:29</t>
        </is>
      </c>
      <c r="C697" t="inlineStr">
        <is>
          <t>69cfb2a9cfdc6132f9435174</t>
        </is>
      </c>
      <c r="D697" t="inlineStr">
        <is>
          <t>Software Development Engineer II, Specialized Selection</t>
        </is>
      </c>
      <c r="E697" t="inlineStr">
        <is>
          <t>1_Discovered</t>
        </is>
      </c>
      <c r="F697" t="inlineStr">
        <is>
          <t>seed_validation</t>
        </is>
      </c>
      <c r="G697" t="inlineStr">
        <is>
          <t>reuse</t>
        </is>
      </c>
      <c r="H697" t="inlineStr">
        <is>
          <t>seed_magnite_sdet</t>
        </is>
      </c>
      <c r="I697" t="inlineStr">
        <is>
          <t>Magnite SDET</t>
        </is>
      </c>
      <c r="J697"/>
      <c r="K697"/>
      <c r="L697"/>
      <c r="M697"/>
      <c r="N697"/>
      <c r="O697"/>
      <c r="P697"/>
      <c r="Q697"/>
      <c r="R697">
        <f>HYPERLINK("https://www.amazon.jobs/jobs/10382910/software-development-engineer-ii-specialized-selection?cmpid=SPLICX0248M&amp;utm_source=linkedin.com&amp;utm_campaign=cxro&amp;utm_medium=social_media&amp;utm_content=job_posting&amp;ss=paid","https://www.amazon.jobs/jobs/10382910/software-development-engineer-ii-specialized-selection?cmpid=SPLICX0248M&amp;utm_source=linkedin.com&amp;utm_campaign=cxro&amp;utm_medium=social_media&amp;utm_content=job_posting&amp;ss=paid")</f>
      </c>
    </row>
    <row r="698">
      <c r="A698" t="inlineStr">
        <is>
          <t>Amazon</t>
        </is>
      </c>
      <c r="B698" t="inlineStr">
        <is>
          <t>2026-04-03 07:29:22</t>
        </is>
      </c>
      <c r="C698" t="inlineStr">
        <is>
          <t>69cfb2a20b098b7a67073316</t>
        </is>
      </c>
      <c r="D698" t="inlineStr">
        <is>
          <t>Business Intelligence Engineer, Creators and Social Analytics Team</t>
        </is>
      </c>
      <c r="E698" t="inlineStr">
        <is>
          <t>1_Discovered</t>
        </is>
      </c>
      <c r="F698" t="inlineStr">
        <is>
          <t>fanout_batch</t>
        </is>
      </c>
      <c r="G698" t="inlineStr">
        <is>
          <t>retarget</t>
        </is>
      </c>
      <c r="H698" t="inlineStr">
        <is>
          <t>seed_amazon_agi_ml_anchor</t>
        </is>
      </c>
      <c r="I698" t="inlineStr">
        <is>
          <t>Amazon AGI/LLM Anchor</t>
        </is>
      </c>
      <c r="J698" t="inlineStr">
        <is>
          <t>amazon_ai_ads_mainline</t>
        </is>
      </c>
      <c r="K698" t="inlineStr">
        <is>
          <t>mainline</t>
        </is>
      </c>
      <c r="L698"/>
      <c r="M698"/>
      <c r="N698">
        <v>94.2</v>
      </c>
      <c r="O698" t="inlineStr">
        <is>
          <t>pass</t>
        </is>
      </c>
      <c r="P698">
        <f>HYPERLINK("file:///Users/jingyizhang/Documents/Playground/projects/local_job_resume_pipeline/data/deliverables/resume_portfolio/by_company/amazon/2026-04-03/69cfb2a20b098b7a67073316/resume.md","/Users/jingyizhang/Documents/Playground/projects/local_job_resume_pipeline/data/deliverables/resume_portfolio/by_company/amazon/2026-04-03/69cfb2a20b098b7a67073316/resume.md")</f>
      </c>
      <c r="Q698"/>
      <c r="R698">
        <f>HYPERLINK("https://www.amazon.jobs/jobs/3175473/business-intelligence-engineer-creators-and-social-analytics-team?cmpid=SPLICX0248M&amp;utm_source=linkedin.com&amp;utm_campaign=cxro&amp;utm_medium=social_media&amp;utm_content=job_posting&amp;ss=paid","https://www.amazon.jobs/jobs/3175473/business-intelligence-engineer-creators-and-social-analytics-team?cmpid=SPLICX0248M&amp;utm_source=linkedin.com&amp;utm_campaign=cxro&amp;utm_medium=social_media&amp;utm_content=job_posting&amp;ss=paid")</f>
      </c>
    </row>
    <row r="699">
      <c r="A699" t="inlineStr">
        <is>
          <t>The Walt Disney Company</t>
        </is>
      </c>
      <c r="B699" t="inlineStr">
        <is>
          <t>2026-04-03 07:29:17</t>
        </is>
      </c>
      <c r="C699" t="inlineStr">
        <is>
          <t>69cfb29d0b098b7a67073314</t>
        </is>
      </c>
      <c r="D699" t="inlineStr">
        <is>
          <t>Sr Data Analyst</t>
        </is>
      </c>
      <c r="E699" t="inlineStr">
        <is>
          <t>1_Discovered</t>
        </is>
      </c>
      <c r="F699" t="inlineStr">
        <is>
          <t>fanout_batch</t>
        </is>
      </c>
      <c r="G699" t="inlineStr">
        <is>
          <t>reuse</t>
        </is>
      </c>
      <c r="H699" t="inlineStr">
        <is>
          <t>seed_plaid_data_scientist</t>
        </is>
      </c>
      <c r="I699" t="inlineStr">
        <is>
          <t>Plaid Data Scientist</t>
        </is>
      </c>
      <c r="J699"/>
      <c r="K699"/>
      <c r="L699"/>
      <c r="M699"/>
      <c r="N699"/>
      <c r="O699"/>
      <c r="P699"/>
      <c r="Q699"/>
      <c r="R699">
        <f>HYPERLINK("https://www.disneycareers.com/job/-/-/391/93511601200?source=LINKEDIN_JOB_SLOTS","https://www.disneycareers.com/job/-/-/391/93511601200?source=LINKEDIN_JOB_SLOTS")</f>
      </c>
    </row>
    <row r="700">
      <c r="A700" t="inlineStr">
        <is>
          <t>Benchling</t>
        </is>
      </c>
      <c r="B700" t="inlineStr">
        <is>
          <t>2026-04-03 07:28:26</t>
        </is>
      </c>
      <c r="C700" t="inlineStr">
        <is>
          <t>69b39441ad360c0340a8b7dd</t>
        </is>
      </c>
      <c r="D700" t="inlineStr">
        <is>
          <t>Software Engineer, Developer Enablement</t>
        </is>
      </c>
      <c r="E700" t="inlineStr">
        <is>
          <t>1_Discovered</t>
        </is>
      </c>
      <c r="F700" t="inlineStr">
        <is>
          <t>fanout_batch</t>
        </is>
      </c>
      <c r="G700" t="inlineStr">
        <is>
          <t>reuse</t>
        </is>
      </c>
      <c r="H700" t="inlineStr">
        <is>
          <t>seed_microsoft_polyglot_generalist</t>
        </is>
      </c>
      <c r="I700" t="inlineStr">
        <is>
          <t>Microsoft Polyglot Generalist</t>
        </is>
      </c>
      <c r="J700"/>
      <c r="K700"/>
      <c r="L700"/>
      <c r="M700"/>
      <c r="N700"/>
      <c r="O700"/>
      <c r="P700"/>
      <c r="Q700"/>
      <c r="R700">
        <f>HYPERLINK("https://jobs.ashbyhq.com/benchling/a60e6f18-5056-4b89-9450-e746bc8f404c/application?utm_source=JobWrapping","https://jobs.ashbyhq.com/benchling/a60e6f18-5056-4b89-9450-e746bc8f404c/application?utm_source=JobWrapping")</f>
      </c>
    </row>
    <row r="701">
      <c r="A701" t="inlineStr">
        <is>
          <t>Google</t>
        </is>
      </c>
      <c r="B701" t="inlineStr">
        <is>
          <t>2026-04-03 07:28:01</t>
        </is>
      </c>
      <c r="C701" t="inlineStr">
        <is>
          <t>69b2e781ad360c0340a7f6e0</t>
        </is>
      </c>
      <c r="D701" t="inlineStr">
        <is>
          <t>Software Engineer III, Cloud Gaia</t>
        </is>
      </c>
      <c r="E701" t="inlineStr">
        <is>
          <t>1_Discovered</t>
        </is>
      </c>
      <c r="F701" t="inlineStr">
        <is>
          <t>retarget_trial</t>
        </is>
      </c>
      <c r="G701" t="inlineStr">
        <is>
          <t>retarget</t>
        </is>
      </c>
      <c r="H701" t="inlineStr">
        <is>
          <t>seed_google_cloud_infra_anchor_candidate</t>
        </is>
      </c>
      <c r="I701" t="inlineStr">
        <is>
          <t>Google Cloud Infra Anchor</t>
        </is>
      </c>
      <c r="J701" t="inlineStr">
        <is>
          <t>google_cloud_infra_mainline</t>
        </is>
      </c>
      <c r="K701" t="inlineStr">
        <is>
          <t>mainline</t>
        </is>
      </c>
      <c r="L701"/>
      <c r="M701"/>
      <c r="N701">
        <v>94.4</v>
      </c>
      <c r="O701" t="inlineStr">
        <is>
          <t>pass</t>
        </is>
      </c>
      <c r="P701">
        <f>HYPERLINK("file:///Users/jingyizhang/Documents/Playground/projects/local_job_resume_pipeline/data/deliverables/resume_portfolio/by_company/google/2026-04-03/69b2e781ad360c0340a7f6e0/resume.md","/Users/jingyizhang/Documents/Playground/projects/local_job_resume_pipeline/data/deliverables/resume_portfolio/by_company/google/2026-04-03/69b2e781ad360c0340a7f6e0/resume.md")</f>
      </c>
      <c r="Q701"/>
      <c r="R701">
        <f>HYPERLINK("https://careers.google.com/jobs/results/137774381244785350-software-engineer-iii/?src=Online/LinkedIn/linkedin_us&amp;utm_source=linkedin&amp;utm_medium=jobposting&amp;utm_campaign=contract","https://careers.google.com/jobs/results/137774381244785350-software-engineer-iii/?src=Online/LinkedIn/linkedin_us&amp;utm_source=linkedin&amp;utm_medium=jobposting&amp;utm_campaign=contract")</f>
      </c>
    </row>
    <row r="702">
      <c r="A702" t="inlineStr">
        <is>
          <t>Chime</t>
        </is>
      </c>
      <c r="B702" t="inlineStr">
        <is>
          <t>2026-04-03 07:15:07</t>
        </is>
      </c>
      <c r="C702" t="inlineStr">
        <is>
          <t>69b32561ad360c0340a8446e</t>
        </is>
      </c>
      <c r="D702" t="inlineStr">
        <is>
          <t>Mobile Software Engineer, Cross Platform</t>
        </is>
      </c>
      <c r="E702" t="inlineStr">
        <is>
          <t>1_Discovered</t>
        </is>
      </c>
      <c r="F702" t="inlineStr">
        <is>
          <t>fanout_batch</t>
        </is>
      </c>
      <c r="G702" t="inlineStr">
        <is>
          <t>retarget</t>
        </is>
      </c>
      <c r="H702" t="inlineStr">
        <is>
          <t>seed_egen_fullstack_node</t>
        </is>
      </c>
      <c r="I702" t="inlineStr">
        <is>
          <t>Egen Fullstack Node</t>
        </is>
      </c>
      <c r="J702"/>
      <c r="K702"/>
      <c r="L702"/>
      <c r="M702"/>
      <c r="N702">
        <v>94.1</v>
      </c>
      <c r="O702" t="inlineStr">
        <is>
          <t>pass</t>
        </is>
      </c>
      <c r="P702">
        <f>HYPERLINK("file:///Users/jingyizhang/Documents/Playground/projects/local_job_resume_pipeline/data/deliverables/resume_portfolio/by_company/chime/2026-04-03/69b32561ad360c0340a8446e/resume.md","/Users/jingyizhang/Documents/Playground/projects/local_job_resume_pipeline/data/deliverables/resume_portfolio/by_company/chime/2026-04-03/69b32561ad360c0340a8446e/resume.md")</f>
      </c>
      <c r="Q702"/>
      <c r="R702">
        <f>HYPERLINK("https://boards.greenhouse.io/embed/job_app?token=8433838002&amp;utm_source=jobright","https://boards.greenhouse.io/embed/job_app?token=8433838002&amp;utm_source=jobright")</f>
      </c>
    </row>
    <row r="703">
      <c r="A703" t="inlineStr">
        <is>
          <t>Aurora</t>
        </is>
      </c>
      <c r="B703" t="inlineStr">
        <is>
          <t>2026-04-03 07:00:46</t>
        </is>
      </c>
      <c r="C703" t="inlineStr">
        <is>
          <t>69ca1413e565c26a7003a74d</t>
        </is>
      </c>
      <c r="D703" t="inlineStr">
        <is>
          <t>Software Engineer I, FinOps</t>
        </is>
      </c>
      <c r="E703" t="inlineStr">
        <is>
          <t>1_Discovered</t>
        </is>
      </c>
      <c r="F703" t="inlineStr">
        <is>
          <t>fanout_batch</t>
        </is>
      </c>
      <c r="G703" t="inlineStr">
        <is>
          <t>reuse</t>
        </is>
      </c>
      <c r="H703" t="inlineStr">
        <is>
          <t>seed_trimedx_platform_multicloud</t>
        </is>
      </c>
      <c r="I703" t="inlineStr">
        <is>
          <t>TRIMEDX Platform Multicloud</t>
        </is>
      </c>
      <c r="J703"/>
      <c r="K703"/>
      <c r="L703"/>
      <c r="M703"/>
      <c r="N703"/>
      <c r="O703"/>
      <c r="P703"/>
      <c r="Q703"/>
      <c r="R703">
        <f>HYPERLINK("https://aurora.tech/jobs/8450213002?gh_src=b6049de52us","https://aurora.tech/jobs/8450213002?gh_src=b6049de52us")</f>
      </c>
    </row>
    <row r="704">
      <c r="A704" t="inlineStr">
        <is>
          <t>Develop Health</t>
        </is>
      </c>
      <c r="B704" t="inlineStr">
        <is>
          <t>2026-04-03 06:46:17</t>
        </is>
      </c>
      <c r="C704" t="inlineStr">
        <is>
          <t>6996fab5e0bddb6acac5a2cb</t>
        </is>
      </c>
      <c r="D704" t="inlineStr">
        <is>
          <t>Senior Software Engineer</t>
        </is>
      </c>
      <c r="E704" t="inlineStr">
        <is>
          <t>1_Discovered</t>
        </is>
      </c>
      <c r="F704" t="inlineStr">
        <is>
          <t>fanout_batch</t>
        </is>
      </c>
      <c r="G704" t="inlineStr">
        <is>
          <t>reuse</t>
        </is>
      </c>
      <c r="H704" t="inlineStr">
        <is>
          <t>seed_codex_amazon_sde</t>
        </is>
      </c>
      <c r="I704" t="inlineStr">
        <is>
          <t>Amazon SDE</t>
        </is>
      </c>
      <c r="J704" t="inlineStr">
        <is>
          <t>amazon_platform_mainline</t>
        </is>
      </c>
      <c r="K704" t="inlineStr">
        <is>
          <t>mainline</t>
        </is>
      </c>
      <c r="L704"/>
      <c r="M704"/>
      <c r="N704"/>
      <c r="O704"/>
      <c r="P704"/>
      <c r="Q704"/>
      <c r="R704">
        <f>HYPERLINK("https://jobs.ashbyhq.com/develop-health/8f99e095-9bf5-423a-91d1-1b011d7be93e","https://jobs.ashbyhq.com/develop-health/8f99e095-9bf5-423a-91d1-1b011d7be93e")</f>
      </c>
    </row>
    <row r="705">
      <c r="A705" t="inlineStr">
        <is>
          <t>NVIDIA</t>
        </is>
      </c>
      <c r="B705" t="inlineStr">
        <is>
          <t>2026-04-03 06:37:14</t>
        </is>
      </c>
      <c r="C705" t="inlineStr">
        <is>
          <t>69cf8f82366bb95ba55176e0</t>
        </is>
      </c>
      <c r="D705" t="inlineStr">
        <is>
          <t>Software Engineer, AI Inference Systems - New College Graduate 2026</t>
        </is>
      </c>
      <c r="E705" t="inlineStr">
        <is>
          <t>1_Discovered</t>
        </is>
      </c>
      <c r="F705" t="inlineStr">
        <is>
          <t>fanout_batch</t>
        </is>
      </c>
      <c r="G705" t="inlineStr">
        <is>
          <t>retarget</t>
        </is>
      </c>
      <c r="H705" t="inlineStr">
        <is>
          <t>seed_bytedance_ml_grad</t>
        </is>
      </c>
      <c r="I705" t="inlineStr">
        <is>
          <t>ByteDance ML Grad</t>
        </is>
      </c>
      <c r="J705"/>
      <c r="K705"/>
      <c r="L705"/>
      <c r="M705"/>
      <c r="N705">
        <v>87.3</v>
      </c>
      <c r="O705" t="inlineStr">
        <is>
          <t>fail</t>
        </is>
      </c>
      <c r="P705">
        <f>HYPERLINK("file:///Users/jingyizhang/Documents/Playground/projects/local_job_resume_pipeline/data/deliverables/resume_portfolio/by_company/nvidia/2026-04-03/69cf8f82366bb95ba55176e0/resume.md","/Users/jingyizhang/Documents/Playground/projects/local_job_resume_pipeline/data/deliverables/resume_portfolio/by_company/nvidia/2026-04-03/69cf8f82366bb95ba55176e0/resume.md")</f>
      </c>
      <c r="Q705"/>
      <c r="R705">
        <f>HYPERLINK("https://nvidia.wd5.myworkdayjobs.com/NVIDIAExternalCareerSite/job/US-CA-Santa-Clara/Software-Engineer--AI-Inference-Systems---New-College-Graduate-2026_JR2015076?source=jobboardlinkedin","https://nvidia.wd5.myworkdayjobs.com/NVIDIAExternalCareerSite/job/US-CA-Santa-Clara/Software-Engineer--AI-Inference-Systems---New-College-Graduate-2026_JR2015076?source=jobboardlinkedin")</f>
      </c>
    </row>
    <row r="706">
      <c r="A706" t="inlineStr">
        <is>
          <t>Aircall</t>
        </is>
      </c>
      <c r="B706" t="inlineStr">
        <is>
          <t>2026-04-03 06:37:01</t>
        </is>
      </c>
      <c r="C706" t="inlineStr">
        <is>
          <t>697ab2b49d60e431a16c52ec</t>
        </is>
      </c>
      <c r="D706" t="inlineStr">
        <is>
          <t>Software Engineer</t>
        </is>
      </c>
      <c r="E706" t="inlineStr">
        <is>
          <t>1_Discovered</t>
        </is>
      </c>
      <c r="F706" t="inlineStr">
        <is>
          <t>fanout_batch</t>
        </is>
      </c>
      <c r="G706" t="inlineStr">
        <is>
          <t>reuse</t>
        </is>
      </c>
      <c r="H706" t="inlineStr">
        <is>
          <t>seed_fullstack_dotnet_azure</t>
        </is>
      </c>
      <c r="I706" t="inlineStr">
        <is>
          <t>Fullstack DotNet Azure</t>
        </is>
      </c>
      <c r="J706"/>
      <c r="K706"/>
      <c r="L706"/>
      <c r="M706"/>
      <c r="N706"/>
      <c r="O706"/>
      <c r="P706"/>
      <c r="Q706"/>
      <c r="R706">
        <f>HYPERLINK("https://jobs.lever.co/aircall/59cfaae6-5fb6-48fb-bc1f-1a4b08e4f909/apply?source=jobright","https://jobs.lever.co/aircall/59cfaae6-5fb6-48fb-bc1f-1a4b08e4f909/apply?source=jobright")</f>
      </c>
    </row>
    <row r="707">
      <c r="A707" t="inlineStr">
        <is>
          <t>Lila Sciences</t>
        </is>
      </c>
      <c r="B707" t="inlineStr">
        <is>
          <t>2026-04-03 06:36:11</t>
        </is>
      </c>
      <c r="C707" t="inlineStr">
        <is>
          <t>6908f343bcccf20de59d530c</t>
        </is>
      </c>
      <c r="D707" t="inlineStr">
        <is>
          <t>AI Scientist I/II, Generative Modeling for Materials Science</t>
        </is>
      </c>
      <c r="E707" t="inlineStr">
        <is>
          <t>1_Discovered</t>
        </is>
      </c>
      <c r="F707" t="inlineStr">
        <is>
          <t>fanout_batch</t>
        </is>
      </c>
      <c r="G707" t="inlineStr">
        <is>
          <t>reuse</t>
        </is>
      </c>
      <c r="H707" t="inlineStr">
        <is>
          <t>seed_bytedance_ml_grad</t>
        </is>
      </c>
      <c r="I707" t="inlineStr">
        <is>
          <t>ByteDance ML Grad</t>
        </is>
      </c>
      <c r="J707"/>
      <c r="K707"/>
      <c r="L707"/>
      <c r="M707"/>
      <c r="N707"/>
      <c r="O707"/>
      <c r="P707"/>
      <c r="Q707"/>
      <c r="R707">
        <f>HYPERLINK("https://www.linkedin.com/jobs/view/4333878053","https://www.linkedin.com/jobs/view/4333878053")</f>
      </c>
    </row>
    <row r="708">
      <c r="A708" t="inlineStr">
        <is>
          <t>Hewlett Packard Enterprise</t>
        </is>
      </c>
      <c r="B708" t="inlineStr">
        <is>
          <t>2026-04-03 06:23:22</t>
        </is>
      </c>
      <c r="C708" t="inlineStr">
        <is>
          <t>69cfa32a891d7b11cfcd500d</t>
        </is>
      </c>
      <c r="D708" t="inlineStr">
        <is>
          <t>Cloud Developer Graduate</t>
        </is>
      </c>
      <c r="E708" t="inlineStr">
        <is>
          <t>1_Discovered</t>
        </is>
      </c>
      <c r="F708" t="inlineStr">
        <is>
          <t>fanout_batch</t>
        </is>
      </c>
      <c r="G708" t="inlineStr">
        <is>
          <t>retarget</t>
        </is>
      </c>
      <c r="H708" t="inlineStr">
        <is>
          <t>seed_fireblocks_sre_anchor</t>
        </is>
      </c>
      <c r="I708" t="inlineStr">
        <is>
          <t>Fireblocks SRE Anchor</t>
        </is>
      </c>
      <c r="J708"/>
      <c r="K708"/>
      <c r="L708"/>
      <c r="M708"/>
      <c r="N708">
        <v>93.5</v>
      </c>
      <c r="O708" t="inlineStr">
        <is>
          <t>pass</t>
        </is>
      </c>
      <c r="P708">
        <f>HYPERLINK("file:///Users/jingyizhang/Documents/Playground/projects/local_job_resume_pipeline/data/deliverables/resume_portfolio/by_company/hewlett-packard-enterprise/2026-04-03/69cfa32a891d7b11cfcd500d/resume.md","/Users/jingyizhang/Documents/Playground/projects/local_job_resume_pipeline/data/deliverables/resume_portfolio/by_company/hewlett-packard-enterprise/2026-04-03/69cfa32a891d7b11cfcd500d/resume.md")</f>
      </c>
      <c r="Q708"/>
      <c r="R708">
        <f>HYPERLINK("https://careers.hpe.com/us/en/job/1204085/Cloud-Developer-Graduate?utm_source=linkedin","https://careers.hpe.com/us/en/job/1204085/Cloud-Developer-Graduate?utm_source=linkedin")</f>
      </c>
    </row>
    <row r="709">
      <c r="A709" t="inlineStr">
        <is>
          <t>Relativity</t>
        </is>
      </c>
      <c r="B709" t="inlineStr">
        <is>
          <t>2026-04-03 06:22:50</t>
        </is>
      </c>
      <c r="C709" t="inlineStr">
        <is>
          <t>69b31d67a8ac8e70ff674507</t>
        </is>
      </c>
      <c r="D709" t="inlineStr">
        <is>
          <t>Software Engineer</t>
        </is>
      </c>
      <c r="E709" t="inlineStr">
        <is>
          <t>1_Discovered</t>
        </is>
      </c>
      <c r="F709" t="inlineStr">
        <is>
          <t>fanout_batch</t>
        </is>
      </c>
      <c r="G709" t="inlineStr">
        <is>
          <t>retarget</t>
        </is>
      </c>
      <c r="H709" t="inlineStr">
        <is>
          <t>seed_microsoft_coreai_platform_anchor</t>
        </is>
      </c>
      <c r="I709" t="inlineStr">
        <is>
          <t>Microsoft CoreAI/BIC Platform Anchor</t>
        </is>
      </c>
      <c r="J709"/>
      <c r="K709"/>
      <c r="L709"/>
      <c r="M709"/>
      <c r="N709">
        <v>95.0</v>
      </c>
      <c r="O709" t="inlineStr">
        <is>
          <t>pass</t>
        </is>
      </c>
      <c r="P709">
        <f>HYPERLINK("file:///Users/jingyizhang/Documents/Playground/projects/local_job_resume_pipeline/data/deliverables/resume_portfolio/by_company/relativity/2026-04-03/69b31d67a8ac8e70ff674507/resume.md","/Users/jingyizhang/Documents/Playground/projects/local_job_resume_pipeline/data/deliverables/resume_portfolio/by_company/relativity/2026-04-03/69b31d67a8ac8e70ff674507/resume.md")</f>
      </c>
      <c r="Q709"/>
      <c r="R709">
        <f>HYPERLINK("https://kcura.wd1.myworkdayjobs.com/External_Career_Site/job/Illinois/Software-Engineer_26-0128?source=LinkedIn","https://kcura.wd1.myworkdayjobs.com/External_Career_Site/job/Illinois/Software-Engineer_26-0128?source=LinkedIn")</f>
      </c>
    </row>
    <row r="710">
      <c r="A710" t="inlineStr">
        <is>
          <t>84.51˚</t>
        </is>
      </c>
      <c r="B710" t="inlineStr">
        <is>
          <t>2026-04-03 06:22:25</t>
        </is>
      </c>
      <c r="C710" t="inlineStr">
        <is>
          <t>6997510f81476f6176af789a</t>
        </is>
      </c>
      <c r="D710" t="inlineStr">
        <is>
          <t>Senior Data Scientist (P4528)</t>
        </is>
      </c>
      <c r="E710" t="inlineStr">
        <is>
          <t>1_Discovered</t>
        </is>
      </c>
      <c r="F710" t="inlineStr">
        <is>
          <t>fanout_batch</t>
        </is>
      </c>
      <c r="G710" t="inlineStr">
        <is>
          <t>retarget</t>
        </is>
      </c>
      <c r="H710" t="inlineStr">
        <is>
          <t>seed_bytedance_ml_grad</t>
        </is>
      </c>
      <c r="I710" t="inlineStr">
        <is>
          <t>ByteDance ML Grad</t>
        </is>
      </c>
      <c r="J710"/>
      <c r="K710"/>
      <c r="L710"/>
      <c r="M710"/>
      <c r="N710">
        <v>93.6</v>
      </c>
      <c r="O710" t="inlineStr">
        <is>
          <t>pass</t>
        </is>
      </c>
      <c r="P710">
        <f>HYPERLINK("file:///Users/jingyizhang/Documents/Playground/projects/local_job_resume_pipeline/data/deliverables/resume_portfolio/by_company/84-51/2026-04-03/6997510f81476f6176af789a/resume.md","/Users/jingyizhang/Documents/Playground/projects/local_job_resume_pipeline/data/deliverables/resume_portfolio/by_company/84-51/2026-04-03/6997510f81476f6176af789a/resume.md")</f>
      </c>
      <c r="Q710"/>
      <c r="R710">
        <f>HYPERLINK("https://boards.greenhouse.io/embed/job_app?token=8414280002&amp;utm_source=jobright","https://boards.greenhouse.io/embed/job_app?token=8414280002&amp;utm_source=jobright")</f>
      </c>
    </row>
    <row r="711">
      <c r="A711" t="inlineStr">
        <is>
          <t>Google</t>
        </is>
      </c>
      <c r="B711" t="inlineStr">
        <is>
          <t>2026-04-03 06:21:51</t>
        </is>
      </c>
      <c r="C711" t="inlineStr">
        <is>
          <t>69b2e5caae2a534885ea3041</t>
        </is>
      </c>
      <c r="D711" t="inlineStr">
        <is>
          <t>Software Engineer, AI/ML, Shopping Experiences</t>
        </is>
      </c>
      <c r="E711" t="inlineStr">
        <is>
          <t>1_Discovered</t>
        </is>
      </c>
      <c r="F711" t="inlineStr">
        <is>
          <t>retarget_trial</t>
        </is>
      </c>
      <c r="G711" t="inlineStr">
        <is>
          <t>reuse</t>
        </is>
      </c>
      <c r="H711" t="inlineStr">
        <is>
          <t>seed_linkedin_mle_foundation</t>
        </is>
      </c>
      <c r="I711" t="inlineStr">
        <is>
          <t>LinkedIn MLE Foundation</t>
        </is>
      </c>
      <c r="J711"/>
      <c r="K711"/>
      <c r="L711"/>
      <c r="M711"/>
      <c r="N711"/>
      <c r="O711"/>
      <c r="P711"/>
      <c r="Q711"/>
      <c r="R711">
        <f>HYPERLINK("https://careers.google.com/jobs/results/130326289478230726-software-engineer/?src=Online/LinkedIn/linkedin_us&amp;utm_source=linkedin&amp;utm_medium=jobposting&amp;utm_campaign=contract","https://careers.google.com/jobs/results/130326289478230726-software-engineer/?src=Online/LinkedIn/linkedin_us&amp;utm_source=linkedin&amp;utm_medium=jobposting&amp;utm_campaign=contract")</f>
      </c>
    </row>
    <row r="712">
      <c r="A712" t="inlineStr">
        <is>
          <t>PayPal</t>
        </is>
      </c>
      <c r="B712" t="inlineStr">
        <is>
          <t>2026-04-03 06:07:02</t>
        </is>
      </c>
      <c r="C712" t="inlineStr">
        <is>
          <t>69be41a0393a1008f7442aa6</t>
        </is>
      </c>
      <c r="D712" t="inlineStr">
        <is>
          <t>System &amp; Cloud Engineer</t>
        </is>
      </c>
      <c r="E712" t="inlineStr">
        <is>
          <t>1_Discovered</t>
        </is>
      </c>
      <c r="F712" t="inlineStr">
        <is>
          <t>fanout_batch</t>
        </is>
      </c>
      <c r="G712" t="inlineStr">
        <is>
          <t>reuse</t>
        </is>
      </c>
      <c r="H712" t="inlineStr">
        <is>
          <t>seed_paypal_java_backend</t>
        </is>
      </c>
      <c r="I712" t="inlineStr">
        <is>
          <t>PayPal Java Backend</t>
        </is>
      </c>
      <c r="J712"/>
      <c r="K712"/>
      <c r="L712"/>
      <c r="M712"/>
      <c r="N712"/>
      <c r="O712"/>
      <c r="P712"/>
      <c r="Q712"/>
      <c r="R712">
        <f>HYPERLINK("https://paypal.eightfold.ai/careers?domain=paypal.com&amp;sort_by=relevance&amp;query=R0135332&amp;Codes=W-LINKEDIN","https://paypal.eightfold.ai/careers?domain=paypal.com&amp;sort_by=relevance&amp;query=R0135332&amp;Codes=W-LINKEDIN")</f>
      </c>
    </row>
    <row r="713">
      <c r="A713" t="inlineStr">
        <is>
          <t>Fireworks AI</t>
        </is>
      </c>
      <c r="B713" t="inlineStr">
        <is>
          <t>2026-04-03 06:06:48</t>
        </is>
      </c>
      <c r="C713" t="inlineStr">
        <is>
          <t>690b9b4d4a1b456627b10c18</t>
        </is>
      </c>
      <c r="D713" t="inlineStr">
        <is>
          <t>Software Engineer, AI Infrastructure</t>
        </is>
      </c>
      <c r="E713" t="inlineStr">
        <is>
          <t>1_Discovered</t>
        </is>
      </c>
      <c r="F713" t="inlineStr">
        <is>
          <t>fanout_batch</t>
        </is>
      </c>
      <c r="G713" t="inlineStr">
        <is>
          <t>retarget</t>
        </is>
      </c>
      <c r="H713" t="inlineStr">
        <is>
          <t>seed_aws_generalist_embedded</t>
        </is>
      </c>
      <c r="I713" t="inlineStr">
        <is>
          <t>AWS Generalist Embedded</t>
        </is>
      </c>
      <c r="J713"/>
      <c r="K713"/>
      <c r="L713"/>
      <c r="M713"/>
      <c r="N713">
        <v>88.4</v>
      </c>
      <c r="O713" t="inlineStr">
        <is>
          <t>conditional_pass</t>
        </is>
      </c>
      <c r="P713">
        <f>HYPERLINK("file:///Users/jingyizhang/Documents/Playground/projects/local_job_resume_pipeline/data/deliverables/resume_portfolio/by_company/fireworks-ai/2026-04-03/690b9b4d4a1b456627b10c18/resume.md","/Users/jingyizhang/Documents/Playground/projects/local_job_resume_pipeline/data/deliverables/resume_portfolio/by_company/fireworks-ai/2026-04-03/690b9b4d4a1b456627b10c18/resume.md")</f>
      </c>
      <c r="Q713"/>
      <c r="R713">
        <f>HYPERLINK("https://boards.greenhouse.io/embed/job_app?token=4056271009&amp;utm_source=jobright","https://boards.greenhouse.io/embed/job_app?token=4056271009&amp;utm_source=jobright")</f>
      </c>
    </row>
    <row r="714">
      <c r="A714" t="inlineStr">
        <is>
          <t>Google</t>
        </is>
      </c>
      <c r="B714" t="inlineStr">
        <is>
          <t>2026-04-03 06:06:42</t>
        </is>
      </c>
      <c r="C714" t="inlineStr">
        <is>
          <t>69c6753cb773006330b709d0</t>
        </is>
      </c>
      <c r="D714" t="inlineStr">
        <is>
          <t>Software Engineer III, Full Stack, Core</t>
        </is>
      </c>
      <c r="E714" t="inlineStr">
        <is>
          <t>1_Discovered</t>
        </is>
      </c>
      <c r="F714" t="inlineStr">
        <is>
          <t>fanout_batch</t>
        </is>
      </c>
      <c r="G714" t="inlineStr">
        <is>
          <t>retarget</t>
        </is>
      </c>
      <c r="H714" t="inlineStr">
        <is>
          <t>seed_codex_google_fullstack</t>
        </is>
      </c>
      <c r="I714" t="inlineStr">
        <is>
          <t>Google Full Stack</t>
        </is>
      </c>
      <c r="J714" t="inlineStr">
        <is>
          <t>google_product_ai_mainline</t>
        </is>
      </c>
      <c r="K714" t="inlineStr">
        <is>
          <t>mainline</t>
        </is>
      </c>
      <c r="L714"/>
      <c r="M714"/>
      <c r="N714">
        <v>90.6</v>
      </c>
      <c r="O714" t="inlineStr">
        <is>
          <t>conditional_pass</t>
        </is>
      </c>
      <c r="P714">
        <f>HYPERLINK("file:///Users/jingyizhang/Documents/Playground/projects/local_job_resume_pipeline/data/deliverables/resume_portfolio/by_company/google/2026-04-03/69c6753cb773006330b709d0/resume.md","/Users/jingyizhang/Documents/Playground/projects/local_job_resume_pipeline/data/deliverables/resume_portfolio/by_company/google/2026-04-03/69c6753cb773006330b709d0/resume.md")</f>
      </c>
      <c r="Q714"/>
      <c r="R714">
        <f>HYPERLINK("https://careers.google.com/jobs/results/136472692889920198-software-engineer-iii/?src=Online/LinkedIn/linkedin_us&amp;utm_source=linkedin&amp;utm_medium=jobposting&amp;utm_campaign=contract","https://careers.google.com/jobs/results/136472692889920198-software-engineer-iii/?src=Online/LinkedIn/linkedin_us&amp;utm_source=linkedin&amp;utm_medium=jobposting&amp;utm_campaign=contract")</f>
      </c>
    </row>
    <row r="715">
      <c r="A715" t="inlineStr">
        <is>
          <t>Xylem</t>
        </is>
      </c>
      <c r="B715" t="inlineStr">
        <is>
          <t>2026-04-03 06:06:41</t>
        </is>
      </c>
      <c r="C715" t="inlineStr">
        <is>
          <t>697b171e17b11b1c2e42138a</t>
        </is>
      </c>
      <c r="D715" t="inlineStr">
        <is>
          <t>AI Solutions Architect</t>
        </is>
      </c>
      <c r="E715" t="inlineStr">
        <is>
          <t>1_Discovered</t>
        </is>
      </c>
      <c r="F715" t="inlineStr">
        <is>
          <t>fanout_batch</t>
        </is>
      </c>
      <c r="G715" t="inlineStr">
        <is>
          <t>retarget</t>
        </is>
      </c>
      <c r="H715" t="inlineStr">
        <is>
          <t>seed_h2o_ai_engineer</t>
        </is>
      </c>
      <c r="I715" t="inlineStr">
        <is>
          <t>H2O AI Engineer</t>
        </is>
      </c>
      <c r="J715"/>
      <c r="K715"/>
      <c r="L715"/>
      <c r="M715"/>
      <c r="N715">
        <v>95.0</v>
      </c>
      <c r="O715" t="inlineStr">
        <is>
          <t>pass</t>
        </is>
      </c>
      <c r="P715">
        <f>HYPERLINK("file:///Users/jingyizhang/Documents/Playground/projects/local_job_resume_pipeline/data/deliverables/resume_portfolio/by_company/xylem/2026-04-03/697b171e17b11b1c2e42138a/resume.md","/Users/jingyizhang/Documents/Playground/projects/local_job_resume_pipeline/data/deliverables/resume_portfolio/by_company/xylem/2026-04-03/697b171e17b11b1c2e42138a/resume.md")</f>
      </c>
      <c r="Q715"/>
      <c r="R715">
        <f>HYPERLINK("https://xylem.wd5.myworkdayjobs.com/xylem-careers/job/Charlotte-North-Carolina/AI-Solutions-Architect_R45747-1?source=LinkedIn","https://xylem.wd5.myworkdayjobs.com/xylem-careers/job/Charlotte-North-Carolina/AI-Solutions-Architect_R45747-1?source=LinkedIn")</f>
      </c>
    </row>
    <row r="716">
      <c r="A716" t="inlineStr">
        <is>
          <t>PayPal</t>
        </is>
      </c>
      <c r="B716" t="inlineStr">
        <is>
          <t>2026-04-03 05:43:58</t>
        </is>
      </c>
      <c r="C716" t="inlineStr">
        <is>
          <t>69964babce78e77b4fda4a2f</t>
        </is>
      </c>
      <c r="D716" t="inlineStr">
        <is>
          <t>Sr Data Scientist</t>
        </is>
      </c>
      <c r="E716" t="inlineStr">
        <is>
          <t>1_Discovered</t>
        </is>
      </c>
      <c r="F716" t="inlineStr">
        <is>
          <t>fanout_batch</t>
        </is>
      </c>
      <c r="G716" t="inlineStr">
        <is>
          <t>reuse</t>
        </is>
      </c>
      <c r="H716" t="inlineStr">
        <is>
          <t>seed_plaid_data_scientist</t>
        </is>
      </c>
      <c r="I716" t="inlineStr">
        <is>
          <t>Plaid Data Scientist</t>
        </is>
      </c>
      <c r="J716"/>
      <c r="K716"/>
      <c r="L716"/>
      <c r="M716"/>
      <c r="N716"/>
      <c r="O716"/>
      <c r="P716"/>
      <c r="Q716"/>
      <c r="R716">
        <f>HYPERLINK("https://paypal.eightfold.ai/careers?domain=paypal.com&amp;sort_by=relevance&amp;query=R0134212&amp;Codes=W-LINKEDIN","https://paypal.eightfold.ai/careers?domain=paypal.com&amp;sort_by=relevance&amp;query=R0134212&amp;Codes=W-LINKEDIN")</f>
      </c>
    </row>
    <row r="717">
      <c r="A717" t="inlineStr">
        <is>
          <t>Adobe</t>
        </is>
      </c>
      <c r="B717" t="inlineStr">
        <is>
          <t>2026-04-03 05:32:40</t>
        </is>
      </c>
      <c r="C717" t="inlineStr">
        <is>
          <t>69b34093ad360c0340a8672f</t>
        </is>
      </c>
      <c r="D717" t="inlineStr">
        <is>
          <t>Software Development Engineer</t>
        </is>
      </c>
      <c r="E717" t="inlineStr">
        <is>
          <t>1_Discovered</t>
        </is>
      </c>
      <c r="F717" t="inlineStr">
        <is>
          <t>fanout_batch</t>
        </is>
      </c>
      <c r="G717" t="inlineStr">
        <is>
          <t>retarget</t>
        </is>
      </c>
      <c r="H717" t="inlineStr">
        <is>
          <t>seed_fullstack_dotnet_azure</t>
        </is>
      </c>
      <c r="I717" t="inlineStr">
        <is>
          <t>Fullstack DotNet Azure</t>
        </is>
      </c>
      <c r="J717"/>
      <c r="K717"/>
      <c r="L717"/>
      <c r="M717"/>
      <c r="N717">
        <v>95.3</v>
      </c>
      <c r="O717" t="inlineStr">
        <is>
          <t>pass</t>
        </is>
      </c>
      <c r="P717">
        <f>HYPERLINK("file:///Users/jingyizhang/Documents/Playground/projects/local_job_resume_pipeline/data/deliverables/resume_portfolio/by_company/adobe/2026-04-03/69b34093ad360c0340a8672f/resume.md","/Users/jingyizhang/Documents/Playground/projects/local_job_resume_pipeline/data/deliverables/resume_portfolio/by_company/adobe/2026-04-03/69b34093ad360c0340a8672f/resume.md")</f>
      </c>
      <c r="Q717"/>
      <c r="R717">
        <f>HYPERLINK("https://careers.adobe.com/us/en/job/ADOBUSR166426EXTERNALENUS/Software-Development-Engineer?utm_source=linkedin&amp;utm_medium=phenom-feeds&amp;source=LinkedIn","https://careers.adobe.com/us/en/job/ADOBUSR166426EXTERNALENUS/Software-Development-Engineer?utm_source=linkedin&amp;utm_medium=phenom-feeds&amp;source=LinkedIn")</f>
      </c>
    </row>
    <row r="718">
      <c r="A718" t="inlineStr">
        <is>
          <t>Mercury Insurance</t>
        </is>
      </c>
      <c r="B718" t="inlineStr">
        <is>
          <t>2026-04-03 05:31:55</t>
        </is>
      </c>
      <c r="C718" t="inlineStr">
        <is>
          <t>6959cd899f1b381eb27280cb</t>
        </is>
      </c>
      <c r="D718" t="inlineStr">
        <is>
          <t>Senior Software Engineer</t>
        </is>
      </c>
      <c r="E718" t="inlineStr">
        <is>
          <t>1_Discovered</t>
        </is>
      </c>
      <c r="F718" t="inlineStr">
        <is>
          <t>fanout_batch</t>
        </is>
      </c>
      <c r="G718" t="inlineStr">
        <is>
          <t>retarget</t>
        </is>
      </c>
      <c r="H718" t="inlineStr">
        <is>
          <t>seed_microsoft_polyglot_generalist</t>
        </is>
      </c>
      <c r="I718" t="inlineStr">
        <is>
          <t>Microsoft Polyglot Generalist</t>
        </is>
      </c>
      <c r="J718"/>
      <c r="K718"/>
      <c r="L718"/>
      <c r="M718"/>
      <c r="N718">
        <v>94.8</v>
      </c>
      <c r="O718" t="inlineStr">
        <is>
          <t>pass</t>
        </is>
      </c>
      <c r="P718">
        <f>HYPERLINK("file:///Users/jingyizhang/Documents/Playground/projects/local_job_resume_pipeline/data/deliverables/resume_portfolio/by_company/mercury-insurance/2026-04-03/6959cd899f1b381eb27280cb/resume.md","/Users/jingyizhang/Documents/Playground/projects/local_job_resume_pipeline/data/deliverables/resume_portfolio/by_company/mercury-insurance/2026-04-03/6959cd899f1b381eb27280cb/resume.md")</f>
      </c>
      <c r="Q718"/>
      <c r="R718">
        <f>HYPERLINK("https://careers-mercuryinsurance.icims.com/jobs/5968/senior-software-engineer/job?in_iframe=1&amp;mode=apply&amp;iis=LinkedIn&amp;iisn=LinkedIn","https://careers-mercuryinsurance.icims.com/jobs/5968/senior-software-engineer/job?in_iframe=1&amp;mode=apply&amp;iis=LinkedIn&amp;iisn=LinkedIn")</f>
      </c>
    </row>
    <row r="719">
      <c r="A719" t="inlineStr">
        <is>
          <t>Adobe</t>
        </is>
      </c>
      <c r="B719" t="inlineStr">
        <is>
          <t>2026-04-03 05:31:55</t>
        </is>
      </c>
      <c r="C719" t="inlineStr">
        <is>
          <t>6996e41681476f6176aedac8</t>
        </is>
      </c>
      <c r="D719" t="inlineStr">
        <is>
          <t>Software Development Engineer 30</t>
        </is>
      </c>
      <c r="E719" t="inlineStr">
        <is>
          <t>1_Discovered</t>
        </is>
      </c>
      <c r="F719" t="inlineStr">
        <is>
          <t>fanout_batch</t>
        </is>
      </c>
      <c r="G719" t="inlineStr">
        <is>
          <t>retarget</t>
        </is>
      </c>
      <c r="H719" t="inlineStr">
        <is>
          <t>seed_paypal_java_backend</t>
        </is>
      </c>
      <c r="I719" t="inlineStr">
        <is>
          <t>PayPal Java Backend</t>
        </is>
      </c>
      <c r="J719"/>
      <c r="K719"/>
      <c r="L719"/>
      <c r="M719"/>
      <c r="N719">
        <v>83.3</v>
      </c>
      <c r="O719" t="inlineStr">
        <is>
          <t>fail</t>
        </is>
      </c>
      <c r="P719">
        <f>HYPERLINK("file:///Users/jingyizhang/Documents/Playground/projects/local_job_resume_pipeline/data/deliverables/resume_portfolio/by_company/adobe/2026-04-03/6996e41681476f6176aedac8/resume.md","/Users/jingyizhang/Documents/Playground/projects/local_job_resume_pipeline/data/deliverables/resume_portfolio/by_company/adobe/2026-04-03/6996e41681476f6176aedac8/resume.md")</f>
      </c>
      <c r="Q719"/>
      <c r="R719">
        <f>HYPERLINK("https://careers.adobe.com/us/en/job/ADOBUSR164812EXTERNALENUS/Software-Development-Engineer-30?utm_source=linkedin&amp;utm_medium=phenom-feeds&amp;source=LinkedIn","https://careers.adobe.com/us/en/job/ADOBUSR164812EXTERNALENUS/Software-Development-Engineer-30?utm_source=linkedin&amp;utm_medium=phenom-feeds&amp;source=LinkedIn")</f>
      </c>
    </row>
    <row r="720">
      <c r="A720" t="inlineStr">
        <is>
          <t>SpotOn</t>
        </is>
      </c>
      <c r="B720" t="inlineStr">
        <is>
          <t>2026-04-03 05:31:38</t>
        </is>
      </c>
      <c r="C720" t="inlineStr">
        <is>
          <t>69967c75e0bddb6acac4f66f</t>
        </is>
      </c>
      <c r="D720" t="inlineStr">
        <is>
          <t>Senior Software Engineer I</t>
        </is>
      </c>
      <c r="E720" t="inlineStr">
        <is>
          <t>1_Discovered</t>
        </is>
      </c>
      <c r="F720" t="inlineStr">
        <is>
          <t>fanout_batch</t>
        </is>
      </c>
      <c r="G720" t="inlineStr">
        <is>
          <t>retarget</t>
        </is>
      </c>
      <c r="H720" t="inlineStr">
        <is>
          <t>seed_generalist_dotnet_enterprise</t>
        </is>
      </c>
      <c r="I720" t="inlineStr">
        <is>
          <t>Generalist DotNet Enterprise</t>
        </is>
      </c>
      <c r="J720"/>
      <c r="K720"/>
      <c r="L720"/>
      <c r="M720"/>
      <c r="N720">
        <v>93.8</v>
      </c>
      <c r="O720" t="inlineStr">
        <is>
          <t>pass</t>
        </is>
      </c>
      <c r="P720">
        <f>HYPERLINK("file:///Users/jingyizhang/Documents/Playground/projects/local_job_resume_pipeline/data/deliverables/resume_portfolio/by_company/spoton/2026-04-03/69967c75e0bddb6acac4f66f/resume.md","/Users/jingyizhang/Documents/Playground/projects/local_job_resume_pipeline/data/deliverables/resume_portfolio/by_company/spoton/2026-04-03/69967c75e0bddb6acac4f66f/resume.md")</f>
      </c>
      <c r="Q720"/>
      <c r="R720">
        <f>HYPERLINK("https://jobs.ashbyhq.com/spoton/e9d202ce-de3b-46e1-9c08-69120e79b75b/application?utm_source=LinkedIn","https://jobs.ashbyhq.com/spoton/e9d202ce-de3b-46e1-9c08-69120e79b75b/application?utm_source=LinkedIn")</f>
      </c>
    </row>
    <row r="721">
      <c r="A721" t="inlineStr">
        <is>
          <t>Zoox</t>
        </is>
      </c>
      <c r="B721" t="inlineStr">
        <is>
          <t>2026-04-03 05:31:37</t>
        </is>
      </c>
      <c r="C721" t="inlineStr">
        <is>
          <t>687852d5866a435525ab86a8</t>
        </is>
      </c>
      <c r="D721" t="inlineStr">
        <is>
          <t>Machine Learning Engineer, 3D Simulation</t>
        </is>
      </c>
      <c r="E721" t="inlineStr">
        <is>
          <t>1_Discovered</t>
        </is>
      </c>
      <c r="F721" t="inlineStr">
        <is>
          <t>fanout_batch</t>
        </is>
      </c>
      <c r="G721" t="inlineStr">
        <is>
          <t>retarget</t>
        </is>
      </c>
      <c r="H721" t="inlineStr">
        <is>
          <t>seed_amazon_agi_ml_anchor</t>
        </is>
      </c>
      <c r="I721" t="inlineStr">
        <is>
          <t>Amazon AGI/LLM Anchor</t>
        </is>
      </c>
      <c r="J721" t="inlineStr">
        <is>
          <t>amazon_ai_ads_mainline</t>
        </is>
      </c>
      <c r="K721" t="inlineStr">
        <is>
          <t>mainline</t>
        </is>
      </c>
      <c r="L721"/>
      <c r="M721"/>
      <c r="N721">
        <v>93.5</v>
      </c>
      <c r="O721" t="inlineStr">
        <is>
          <t>pass</t>
        </is>
      </c>
      <c r="P721">
        <f>HYPERLINK("file:///Users/jingyizhang/Documents/Playground/projects/local_job_resume_pipeline/data/deliverables/resume_portfolio/by_company/zoox/2026-04-03/687852d5866a435525ab86a8/resume.md","/Users/jingyizhang/Documents/Playground/projects/local_job_resume_pipeline/data/deliverables/resume_portfolio/by_company/zoox/2026-04-03/687852d5866a435525ab86a8/resume.md")</f>
      </c>
      <c r="Q721"/>
      <c r="R721">
        <f>HYPERLINK("https://jobs.lever.co/zoox/2d73563c-8039-4d1b-844c-3953259ba6b1/apply?source=jobright","https://jobs.lever.co/zoox/2d73563c-8039-4d1b-844c-3953259ba6b1/apply?source=jobright")</f>
      </c>
    </row>
    <row r="722">
      <c r="A722" t="inlineStr">
        <is>
          <t>Adobe</t>
        </is>
      </c>
      <c r="B722" t="inlineStr">
        <is>
          <t>2026-04-03 05:31:25</t>
        </is>
      </c>
      <c r="C722" t="inlineStr">
        <is>
          <t>69b344d5a8ac8e70ff6783a5</t>
        </is>
      </c>
      <c r="D722" t="inlineStr">
        <is>
          <t>Software Development Engineer</t>
        </is>
      </c>
      <c r="E722" t="inlineStr">
        <is>
          <t>1_Discovered</t>
        </is>
      </c>
      <c r="F722" t="inlineStr">
        <is>
          <t>fanout_batch</t>
        </is>
      </c>
      <c r="G722" t="inlineStr">
        <is>
          <t>retarget</t>
        </is>
      </c>
      <c r="H722" t="inlineStr">
        <is>
          <t>seed_paypal_java_backend</t>
        </is>
      </c>
      <c r="I722" t="inlineStr">
        <is>
          <t>PayPal Java Backend</t>
        </is>
      </c>
      <c r="J722"/>
      <c r="K722"/>
      <c r="L722"/>
      <c r="M722"/>
      <c r="N722">
        <v>96.8</v>
      </c>
      <c r="O722" t="inlineStr">
        <is>
          <t>pass</t>
        </is>
      </c>
      <c r="P722">
        <f>HYPERLINK("file:///Users/jingyizhang/Documents/Playground/projects/local_job_resume_pipeline/data/deliverables/resume_portfolio/by_company/adobe/2026-04-03/69b344d5a8ac8e70ff6783a5/resume.md","/Users/jingyizhang/Documents/Playground/projects/local_job_resume_pipeline/data/deliverables/resume_portfolio/by_company/adobe/2026-04-03/69b344d5a8ac8e70ff6783a5/resume.md")</f>
      </c>
      <c r="Q722"/>
      <c r="R722">
        <f>HYPERLINK("https://careers.adobe.com/us/en/job/ADOBUSR165970EXTERNALENUS/Software-Development-Engineer?utm_source=linkedin&amp;utm_medium=phenom-feeds&amp;source=LinkedIn","https://careers.adobe.com/us/en/job/ADOBUSR165970EXTERNALENUS/Software-Development-Engineer?utm_source=linkedin&amp;utm_medium=phenom-feeds&amp;source=LinkedIn")</f>
      </c>
    </row>
    <row r="723">
      <c r="A723" t="inlineStr">
        <is>
          <t>Adobe</t>
        </is>
      </c>
      <c r="B723" t="inlineStr">
        <is>
          <t>2026-04-03 05:31:25</t>
        </is>
      </c>
      <c r="C723" t="inlineStr">
        <is>
          <t>69b33996a8ac8e70ff677c54</t>
        </is>
      </c>
      <c r="D723" t="inlineStr">
        <is>
          <t>Software UI Development Engineer</t>
        </is>
      </c>
      <c r="E723" t="inlineStr">
        <is>
          <t>1_Discovered</t>
        </is>
      </c>
      <c r="F723" t="inlineStr">
        <is>
          <t>fanout_batch</t>
        </is>
      </c>
      <c r="G723" t="inlineStr">
        <is>
          <t>retarget</t>
        </is>
      </c>
      <c r="H723" t="inlineStr">
        <is>
          <t>seed_egen_fullstack_node</t>
        </is>
      </c>
      <c r="I723" t="inlineStr">
        <is>
          <t>Egen Fullstack Node</t>
        </is>
      </c>
      <c r="J723"/>
      <c r="K723"/>
      <c r="L723"/>
      <c r="M723"/>
      <c r="N723">
        <v>94.5</v>
      </c>
      <c r="O723" t="inlineStr">
        <is>
          <t>pass</t>
        </is>
      </c>
      <c r="P723">
        <f>HYPERLINK("file:///Users/jingyizhang/Documents/Playground/projects/local_job_resume_pipeline/data/deliverables/resume_portfolio/by_company/adobe/2026-04-03/69b33996a8ac8e70ff677c54/resume.md","/Users/jingyizhang/Documents/Playground/projects/local_job_resume_pipeline/data/deliverables/resume_portfolio/by_company/adobe/2026-04-03/69b33996a8ac8e70ff677c54/resume.md")</f>
      </c>
      <c r="Q723"/>
      <c r="R723">
        <f>HYPERLINK("https://careers.adobe.com/us/en/job/ADOBUSR165932EXTERNALENUS/Software-UI-Development-Engineer?utm_source=linkedin&amp;utm_medium=phenom-feeds&amp;source=LinkedIn","https://careers.adobe.com/us/en/job/ADOBUSR165932EXTERNALENUS/Software-UI-Development-Engineer?utm_source=linkedin&amp;utm_medium=phenom-feeds&amp;source=LinkedIn")</f>
      </c>
    </row>
    <row r="724">
      <c r="A724" t="inlineStr">
        <is>
          <t>Medpace</t>
        </is>
      </c>
      <c r="B724" t="inlineStr">
        <is>
          <t>2026-04-03 05:30:17</t>
        </is>
      </c>
      <c r="C724" t="inlineStr">
        <is>
          <t>6960421da1bbea1d9a7b2818</t>
        </is>
      </c>
      <c r="D724" t="inlineStr">
        <is>
          <t>AI Engineer</t>
        </is>
      </c>
      <c r="E724" t="inlineStr">
        <is>
          <t>1_Discovered</t>
        </is>
      </c>
      <c r="F724" t="inlineStr">
        <is>
          <t>fanout_batch</t>
        </is>
      </c>
      <c r="G724" t="inlineStr">
        <is>
          <t>retarget</t>
        </is>
      </c>
      <c r="H724" t="inlineStr">
        <is>
          <t>seed_h2o_ai_engineer</t>
        </is>
      </c>
      <c r="I724" t="inlineStr">
        <is>
          <t>H2O AI Engineer</t>
        </is>
      </c>
      <c r="J724"/>
      <c r="K724"/>
      <c r="L724"/>
      <c r="M724"/>
      <c r="N724">
        <v>94.5</v>
      </c>
      <c r="O724" t="inlineStr">
        <is>
          <t>pass</t>
        </is>
      </c>
      <c r="P724">
        <f>HYPERLINK("file:///Users/jingyizhang/Documents/Playground/projects/local_job_resume_pipeline/data/deliverables/resume_portfolio/by_company/medpace/2026-04-03/6960421da1bbea1d9a7b2818/resume.md","/Users/jingyizhang/Documents/Playground/projects/local_job_resume_pipeline/data/deliverables/resume_portfolio/by_company/medpace/2026-04-03/6960421da1bbea1d9a7b2818/resume.md")</f>
      </c>
      <c r="Q724"/>
      <c r="R724">
        <f>HYPERLINK("https://careers.medpace.com/jobs/12103?lang=en-us&amp;iis=Job%20Board&amp;iisn=LinkedIn","https://careers.medpace.com/jobs/12103?lang=en-us&amp;iis=Job%20Board&amp;iisn=LinkedIn")</f>
      </c>
    </row>
    <row r="725">
      <c r="A725" t="inlineStr">
        <is>
          <t>Zoox</t>
        </is>
      </c>
      <c r="B725" t="inlineStr">
        <is>
          <t>2026-04-03 05:29:50</t>
        </is>
      </c>
      <c r="C725" t="inlineStr">
        <is>
          <t>6863482375a7d35fe59d54c3</t>
        </is>
      </c>
      <c r="D725" t="inlineStr">
        <is>
          <t>Machine Learning Engineer - MLA Perception Offline Driving Intelligence</t>
        </is>
      </c>
      <c r="E725" t="inlineStr">
        <is>
          <t>1_Discovered</t>
        </is>
      </c>
      <c r="F725" t="inlineStr">
        <is>
          <t>fanout_batch</t>
        </is>
      </c>
      <c r="G725" t="inlineStr">
        <is>
          <t>retarget</t>
        </is>
      </c>
      <c r="H725" t="inlineStr">
        <is>
          <t>seed_linkedin_mle_foundation</t>
        </is>
      </c>
      <c r="I725" t="inlineStr">
        <is>
          <t>LinkedIn MLE Foundation</t>
        </is>
      </c>
      <c r="J725"/>
      <c r="K725"/>
      <c r="L725"/>
      <c r="M725"/>
      <c r="N725">
        <v>93.4</v>
      </c>
      <c r="O725" t="inlineStr">
        <is>
          <t>pass</t>
        </is>
      </c>
      <c r="P725">
        <f>HYPERLINK("file:///Users/jingyizhang/Documents/Playground/projects/local_job_resume_pipeline/data/deliverables/resume_portfolio/by_company/zoox/2026-04-03/6863482375a7d35fe59d54c3/resume.md","/Users/jingyizhang/Documents/Playground/projects/local_job_resume_pipeline/data/deliverables/resume_portfolio/by_company/zoox/2026-04-03/6863482375a7d35fe59d54c3/resume.md")</f>
      </c>
      <c r="Q725"/>
      <c r="R725">
        <f>HYPERLINK("https://jobs.lever.co/zoox/03b2ccc5-85ac-4f55-9633-9215451246b2/apply?source=jobright","https://jobs.lever.co/zoox/03b2ccc5-85ac-4f55-9633-9215451246b2/apply?source=jobright")</f>
      </c>
    </row>
    <row r="726">
      <c r="A726" t="inlineStr">
        <is>
          <t>Artefact</t>
        </is>
      </c>
      <c r="B726" t="inlineStr">
        <is>
          <t>2026-04-03 05:21:22</t>
        </is>
      </c>
      <c r="C726" t="inlineStr">
        <is>
          <t>698e5711f64d441a16508b91</t>
        </is>
      </c>
      <c r="D726" t="inlineStr">
        <is>
          <t>Sr Data Analyst</t>
        </is>
      </c>
      <c r="E726" t="inlineStr">
        <is>
          <t>1_Discovered</t>
        </is>
      </c>
      <c r="F726" t="inlineStr">
        <is>
          <t>fanout_batch</t>
        </is>
      </c>
      <c r="G726" t="inlineStr">
        <is>
          <t>retarget</t>
        </is>
      </c>
      <c r="H726" t="inlineStr">
        <is>
          <t>seed_qualified_health_data_engineer</t>
        </is>
      </c>
      <c r="I726" t="inlineStr">
        <is>
          <t>Qualified Health Data Engineer</t>
        </is>
      </c>
      <c r="J726"/>
      <c r="K726"/>
      <c r="L726"/>
      <c r="M726"/>
      <c r="N726">
        <v>94.4</v>
      </c>
      <c r="O726" t="inlineStr">
        <is>
          <t>pass</t>
        </is>
      </c>
      <c r="P726">
        <f>HYPERLINK("file:///Users/jingyizhang/Documents/Playground/projects/local_job_resume_pipeline/data/deliverables/resume_portfolio/by_company/artefact/2026-04-03/698e5711f64d441a16508b91/resume.md","/Users/jingyizhang/Documents/Playground/projects/local_job_resume_pipeline/data/deliverables/resume_portfolio/by_company/artefact/2026-04-03/698e5711f64d441a16508b91/resume.md")</f>
      </c>
      <c r="Q726"/>
      <c r="R726">
        <f>HYPERLINK("https://boards.greenhouse.io/embed/job_app?token=8421331002&amp;utm_source=jobright","https://boards.greenhouse.io/embed/job_app?token=8421331002&amp;utm_source=jobright")</f>
      </c>
    </row>
    <row r="727">
      <c r="A727" t="inlineStr">
        <is>
          <t>Wells Fargo</t>
        </is>
      </c>
      <c r="B727" t="inlineStr">
        <is>
          <t>2026-04-03 05:20:14</t>
        </is>
      </c>
      <c r="C727" t="inlineStr">
        <is>
          <t>69cf945e398fb071abf91140</t>
        </is>
      </c>
      <c r="D727" t="inlineStr">
        <is>
          <t>Senior Data Management Analyst</t>
        </is>
      </c>
      <c r="E727" t="inlineStr">
        <is>
          <t>1_Discovered</t>
        </is>
      </c>
      <c r="F727" t="inlineStr">
        <is>
          <t>fanout_batch</t>
        </is>
      </c>
      <c r="G727" t="inlineStr">
        <is>
          <t>reuse</t>
        </is>
      </c>
      <c r="H727" t="inlineStr">
        <is>
          <t>seed_plaid_data_scientist</t>
        </is>
      </c>
      <c r="I727" t="inlineStr">
        <is>
          <t>Plaid Data Scientist</t>
        </is>
      </c>
      <c r="J727"/>
      <c r="K727"/>
      <c r="L727"/>
      <c r="M727"/>
      <c r="N727"/>
      <c r="O727"/>
      <c r="P727"/>
      <c r="Q727"/>
      <c r="R727">
        <f>HYPERLINK("https://tnl2.jometer.com/v2/job?jz=581jn30dcced2eea7b6cfda5fac5b4742e8faCMAJQAYBAACQAAAAAAAQ&amp;utm_source=joveo&amp;publisher=Linkedin%20Flat%20bid","https://tnl2.jometer.com/v2/job?jz=581jn30dcced2eea7b6cfda5fac5b4742e8faCMAJQAYBAACQAAAAAAAQ&amp;utm_source=joveo&amp;publisher=Linkedin%20Flat%20bid")</f>
      </c>
    </row>
    <row r="728">
      <c r="A728" t="inlineStr">
        <is>
          <t>JPMorganChase</t>
        </is>
      </c>
      <c r="B728" t="inlineStr">
        <is>
          <t>2026-04-03 05:18:47</t>
        </is>
      </c>
      <c r="C728" t="inlineStr">
        <is>
          <t>697b738f1136d179eeeef5ea</t>
        </is>
      </c>
      <c r="D728" t="inlineStr">
        <is>
          <t>Security Engineer III - Java/Python AWS</t>
        </is>
      </c>
      <c r="E728" t="inlineStr">
        <is>
          <t>1_Discovered</t>
        </is>
      </c>
      <c r="F728" t="inlineStr">
        <is>
          <t>retarget_trial</t>
        </is>
      </c>
      <c r="G728" t="inlineStr">
        <is>
          <t>new_seed</t>
        </is>
      </c>
      <c r="H728" t="inlineStr">
        <is>
          <t>seed_paypal_java_backend</t>
        </is>
      </c>
      <c r="I728" t="inlineStr">
        <is>
          <t>PayPal Java Backend</t>
        </is>
      </c>
      <c r="J728"/>
      <c r="K728"/>
      <c r="L728" t="inlineStr">
        <is>
          <t>yes</t>
        </is>
      </c>
      <c r="M728" t="inlineStr">
        <is>
          <t>jpmc_security_outlier</t>
        </is>
      </c>
      <c r="N728">
        <v>94.1</v>
      </c>
      <c r="O728" t="inlineStr">
        <is>
          <t>pass</t>
        </is>
      </c>
      <c r="P728">
        <f>HYPERLINK("file:///Users/jingyizhang/Documents/Playground/projects/local_job_resume_pipeline/data/deliverables/resume_portfolio/by_company/jpmorganchase/2026-04-03/697b738f1136d179eeeef5ea/resume.md","/Users/jingyizhang/Documents/Playground/projects/local_job_resume_pipeline/data/deliverables/resume_portfolio/by_company/jpmorganchase/2026-04-03/697b738f1136d179eeeef5ea/resume.md")</f>
      </c>
      <c r="Q728"/>
      <c r="R728">
        <f>HYPERLINK("https://JPMorganChase.contacthr.com/150834875","https://JPMorganChase.contacthr.com/150834875")</f>
      </c>
    </row>
    <row r="729">
      <c r="A729" t="inlineStr">
        <is>
          <t>1stDibs</t>
        </is>
      </c>
      <c r="B729" t="inlineStr">
        <is>
          <t>2026-04-03 05:18:40</t>
        </is>
      </c>
      <c r="C729" t="inlineStr">
        <is>
          <t>69b36a5aa8ac8e70ff67aa6b</t>
        </is>
      </c>
      <c r="D729" t="inlineStr">
        <is>
          <t>Data Analyst</t>
        </is>
      </c>
      <c r="E729" t="inlineStr">
        <is>
          <t>1_Discovered</t>
        </is>
      </c>
      <c r="F729" t="inlineStr">
        <is>
          <t>seed_validation</t>
        </is>
      </c>
      <c r="G729" t="inlineStr">
        <is>
          <t>reuse</t>
        </is>
      </c>
      <c r="H729" t="inlineStr">
        <is>
          <t>seed_plaid_data_scientist</t>
        </is>
      </c>
      <c r="I729" t="inlineStr">
        <is>
          <t>Plaid Data Scientist</t>
        </is>
      </c>
      <c r="J729"/>
      <c r="K729"/>
      <c r="L729"/>
      <c r="M729"/>
      <c r="N729"/>
      <c r="O729"/>
      <c r="P729"/>
      <c r="Q729"/>
      <c r="R729">
        <f>HYPERLINK("https://boards.greenhouse.io/embed/job_app?token=7713727&amp;utm_source=jobright","https://boards.greenhouse.io/embed/job_app?token=7713727&amp;utm_source=jobright")</f>
      </c>
    </row>
    <row r="730">
      <c r="A730" t="inlineStr">
        <is>
          <t>AMETEK</t>
        </is>
      </c>
      <c r="B730" t="inlineStr">
        <is>
          <t>2026-04-03 05:17:27</t>
        </is>
      </c>
      <c r="C730" t="inlineStr">
        <is>
          <t>69a06d6e81476f6176baaab6</t>
        </is>
      </c>
      <c r="D730" t="inlineStr">
        <is>
          <t>Associate Software Engineer</t>
        </is>
      </c>
      <c r="E730" t="inlineStr">
        <is>
          <t>1_Discovered</t>
        </is>
      </c>
      <c r="F730" t="inlineStr">
        <is>
          <t>fanout_batch</t>
        </is>
      </c>
      <c r="G730" t="inlineStr">
        <is>
          <t>retarget</t>
        </is>
      </c>
      <c r="H730" t="inlineStr">
        <is>
          <t>seed_generalist_dotnet_enterprise</t>
        </is>
      </c>
      <c r="I730" t="inlineStr">
        <is>
          <t>Generalist DotNet Enterprise</t>
        </is>
      </c>
      <c r="J730"/>
      <c r="K730"/>
      <c r="L730"/>
      <c r="M730"/>
      <c r="N730">
        <v>95.2</v>
      </c>
      <c r="O730" t="inlineStr">
        <is>
          <t>pass</t>
        </is>
      </c>
      <c r="P730">
        <f>HYPERLINK("file:///Users/jingyizhang/Documents/Playground/projects/local_job_resume_pipeline/data/deliverables/resume_portfolio/by_company/ametek/2026-04-03/69a06d6e81476f6176baaab6/resume.md","/Users/jingyizhang/Documents/Playground/projects/local_job_resume_pipeline/data/deliverables/resume_portfolio/by_company/ametek/2026-04-03/69a06d6e81476f6176baaab6/resume.md")</f>
      </c>
      <c r="Q730"/>
      <c r="R730">
        <f>HYPERLINK("https://jobs.ametek.com/job/Mount-Prospect-Associate-Software-Engineer-IL-60056/1366404500/","https://jobs.ametek.com/job/Mount-Prospect-Associate-Software-Engineer-IL-60056/1366404500/")</f>
      </c>
    </row>
    <row r="731">
      <c r="A731" t="inlineStr">
        <is>
          <t>Certara</t>
        </is>
      </c>
      <c r="B731" t="inlineStr">
        <is>
          <t>2026-04-03 05:17:23</t>
        </is>
      </c>
      <c r="C731" t="inlineStr">
        <is>
          <t>69a654ece567421f425754f1</t>
        </is>
      </c>
      <c r="D731" t="inlineStr">
        <is>
          <t>Sr. Software Engineer</t>
        </is>
      </c>
      <c r="E731" t="inlineStr">
        <is>
          <t>1_Discovered</t>
        </is>
      </c>
      <c r="F731" t="inlineStr">
        <is>
          <t>fanout_batch</t>
        </is>
      </c>
      <c r="G731" t="inlineStr">
        <is>
          <t>retarget</t>
        </is>
      </c>
      <c r="H731" t="inlineStr">
        <is>
          <t>seed_generalist_dotnet_enterprise</t>
        </is>
      </c>
      <c r="I731" t="inlineStr">
        <is>
          <t>Generalist DotNet Enterprise</t>
        </is>
      </c>
      <c r="J731"/>
      <c r="K731"/>
      <c r="L731"/>
      <c r="M731"/>
      <c r="N731">
        <v>94.4</v>
      </c>
      <c r="O731" t="inlineStr">
        <is>
          <t>pass</t>
        </is>
      </c>
      <c r="P731">
        <f>HYPERLINK("file:///Users/jingyizhang/Documents/Playground/projects/local_job_resume_pipeline/data/deliverables/resume_portfolio/by_company/certara/2026-04-03/69a654ece567421f425754f1/resume.md","/Users/jingyizhang/Documents/Playground/projects/local_job_resume_pipeline/data/deliverables/resume_portfolio/by_company/certara/2026-04-03/69a654ece567421f425754f1/resume.md")</f>
      </c>
      <c r="Q731"/>
      <c r="R731">
        <f>HYPERLINK("https://careers.certara.com/jobs/2385?mode=apply&amp;iis=LinkedIn","https://careers.certara.com/jobs/2385?mode=apply&amp;iis=LinkedIn")</f>
      </c>
    </row>
    <row r="732">
      <c r="A732" t="inlineStr">
        <is>
          <t>Generac</t>
        </is>
      </c>
      <c r="B732" t="inlineStr">
        <is>
          <t>2026-04-03 05:00:30</t>
        </is>
      </c>
      <c r="C732" t="inlineStr">
        <is>
          <t>69cf8fbecfdc6132f94345a1</t>
        </is>
      </c>
      <c r="D732" t="inlineStr">
        <is>
          <t>Data Analyst II</t>
        </is>
      </c>
      <c r="E732" t="inlineStr">
        <is>
          <t>1_Discovered</t>
        </is>
      </c>
      <c r="F732" t="inlineStr">
        <is>
          <t>fanout_batch</t>
        </is>
      </c>
      <c r="G732" t="inlineStr">
        <is>
          <t>retarget</t>
        </is>
      </c>
      <c r="H732" t="inlineStr">
        <is>
          <t>seed_jpmc_data_mlops_anchor</t>
        </is>
      </c>
      <c r="I732" t="inlineStr">
        <is>
          <t>JPMorganChase Data Platform/MLOps Anchor</t>
        </is>
      </c>
      <c r="J732" t="inlineStr">
        <is>
          <t>jpmc_data_mlops_mainline</t>
        </is>
      </c>
      <c r="K732" t="inlineStr">
        <is>
          <t>mainline</t>
        </is>
      </c>
      <c r="L732"/>
      <c r="M732"/>
      <c r="N732">
        <v>94.5</v>
      </c>
      <c r="O732" t="inlineStr">
        <is>
          <t>pass</t>
        </is>
      </c>
      <c r="P732">
        <f>HYPERLINK("file:///Users/jingyizhang/Documents/Playground/projects/local_job_resume_pipeline/data/deliverables/resume_portfolio/by_company/generac/2026-04-03/69cf8fbecfdc6132f94345a1/resume.md","/Users/jingyizhang/Documents/Playground/projects/local_job_resume_pipeline/data/deliverables/resume_portfolio/by_company/generac/2026-04-03/69cf8fbecfdc6132f94345a1/resume.md")</f>
      </c>
      <c r="Q732"/>
      <c r="R732">
        <f>HYPERLINK("https://generac.wd5.myworkdayjobs.com/External/job/Pewaukee-WI---USA/Data-Analyst-II_JR13353","https://generac.wd5.myworkdayjobs.com/External/job/Pewaukee-WI---USA/Data-Analyst-II_JR13353")</f>
      </c>
    </row>
    <row r="733">
      <c r="A733" t="inlineStr">
        <is>
          <t>Gilead Sciences</t>
        </is>
      </c>
      <c r="B733" t="inlineStr">
        <is>
          <t>2026-04-03 04:58:11</t>
        </is>
      </c>
      <c r="C733" t="inlineStr">
        <is>
          <t>69978a70ce78e77b4fdbd908</t>
        </is>
      </c>
      <c r="D733" t="inlineStr">
        <is>
          <t>Senior Software Engineer, Research Systems</t>
        </is>
      </c>
      <c r="E733" t="inlineStr">
        <is>
          <t>1_Discovered</t>
        </is>
      </c>
      <c r="F733" t="inlineStr">
        <is>
          <t>fanout_batch</t>
        </is>
      </c>
      <c r="G733" t="inlineStr">
        <is>
          <t>retarget</t>
        </is>
      </c>
      <c r="H733" t="inlineStr">
        <is>
          <t>seed_generalist_dotnet_enterprise</t>
        </is>
      </c>
      <c r="I733" t="inlineStr">
        <is>
          <t>Generalist DotNet Enterprise</t>
        </is>
      </c>
      <c r="J733"/>
      <c r="K733"/>
      <c r="L733"/>
      <c r="M733"/>
      <c r="N733">
        <v>96.8</v>
      </c>
      <c r="O733" t="inlineStr">
        <is>
          <t>pass</t>
        </is>
      </c>
      <c r="P733">
        <f>HYPERLINK("file:///Users/jingyizhang/Documents/Playground/projects/local_job_resume_pipeline/data/deliverables/resume_portfolio/by_company/gilead-sciences/2026-04-03/69978a70ce78e77b4fdbd908/resume.md","/Users/jingyizhang/Documents/Playground/projects/local_job_resume_pipeline/data/deliverables/resume_portfolio/by_company/gilead-sciences/2026-04-03/69978a70ce78e77b4fdbd908/resume.md")</f>
      </c>
      <c r="Q733"/>
      <c r="R733">
        <f>HYPERLINK("https://gilead.wd1.myworkdayjobs.com/gileadcareers/job/United-States---California---Foster-City/Senior-Software-Engineer--Research-Systems_R0050312-2?sid=132","https://gilead.wd1.myworkdayjobs.com/gileadcareers/job/United-States---California---Foster-City/Senior-Software-Engineer--Research-Systems_R0050312-2?sid=132")</f>
      </c>
    </row>
    <row r="734">
      <c r="A734" t="inlineStr">
        <is>
          <t>Waystar</t>
        </is>
      </c>
      <c r="B734" t="inlineStr">
        <is>
          <t>2026-04-03 04:57:37</t>
        </is>
      </c>
      <c r="C734" t="inlineStr">
        <is>
          <t>69c61b6f1b5ad0288737d73d</t>
        </is>
      </c>
      <c r="D734" t="inlineStr">
        <is>
          <t>Machine Learning Platform Engineer - Backend Services</t>
        </is>
      </c>
      <c r="E734" t="inlineStr">
        <is>
          <t>1_Discovered</t>
        </is>
      </c>
      <c r="F734" t="inlineStr">
        <is>
          <t>fanout_batch</t>
        </is>
      </c>
      <c r="G734" t="inlineStr">
        <is>
          <t>retarget</t>
        </is>
      </c>
      <c r="H734" t="inlineStr">
        <is>
          <t>seed_aws_support_backend_anchor</t>
        </is>
      </c>
      <c r="I734" t="inlineStr">
        <is>
          <t>AWS Support Backend Anchor</t>
        </is>
      </c>
      <c r="J734"/>
      <c r="K734"/>
      <c r="L734"/>
      <c r="M734"/>
      <c r="N734">
        <v>91.0</v>
      </c>
      <c r="O734" t="inlineStr">
        <is>
          <t>conditional_pass</t>
        </is>
      </c>
      <c r="P734">
        <f>HYPERLINK("file:///Users/jingyizhang/Documents/Playground/projects/local_job_resume_pipeline/data/deliverables/resume_portfolio/by_company/waystar/2026-04-03/69c61b6f1b5ad0288737d73d/resume.md","/Users/jingyizhang/Documents/Playground/projects/local_job_resume_pipeline/data/deliverables/resume_portfolio/by_company/waystar/2026-04-03/69c61b6f1b5ad0288737d73d/resume.md")</f>
      </c>
      <c r="Q734"/>
      <c r="R734">
        <f>HYPERLINK("https://careers.waystar.com/7DF9AC01AA684D908132CA7BB00AD911/job/?vs=1606&amp;utm_source=LinkedIn.com-DE&amp;utm_medium=Social%20Media&amp;utm_campaign=LinkedIn.com","https://careers.waystar.com/7DF9AC01AA684D908132CA7BB00AD911/job/?vs=1606&amp;utm_source=LinkedIn.com-DE&amp;utm_medium=Social%20Media&amp;utm_campaign=LinkedIn.com")</f>
      </c>
    </row>
    <row r="735">
      <c r="A735" t="inlineStr">
        <is>
          <t>Applied Systems</t>
        </is>
      </c>
      <c r="B735" t="inlineStr">
        <is>
          <t>2026-04-03 04:57:37</t>
        </is>
      </c>
      <c r="C735" t="inlineStr">
        <is>
          <t>69b291ecae2a534885e9a9ba</t>
        </is>
      </c>
      <c r="D735" t="inlineStr">
        <is>
          <t>Software Engineer / Sr Software Engineer</t>
        </is>
      </c>
      <c r="E735" t="inlineStr">
        <is>
          <t>1_Discovered</t>
        </is>
      </c>
      <c r="F735" t="inlineStr">
        <is>
          <t>fanout_batch</t>
        </is>
      </c>
      <c r="G735" t="inlineStr">
        <is>
          <t>reuse</t>
        </is>
      </c>
      <c r="H735" t="inlineStr">
        <is>
          <t>seed_generalist_dotnet_enterprise</t>
        </is>
      </c>
      <c r="I735" t="inlineStr">
        <is>
          <t>Generalist DotNet Enterprise</t>
        </is>
      </c>
      <c r="J735"/>
      <c r="K735"/>
      <c r="L735"/>
      <c r="M735"/>
      <c r="N735"/>
      <c r="O735"/>
      <c r="P735"/>
      <c r="Q735"/>
      <c r="R735">
        <f>HYPERLINK("https://careers-appliedsystems.icims.com/jobs/7034/software-engineer---sr-software-engineer/job?hub=15&amp;in_iframe=1&amp;mode=job&amp;iis=LinkedIn","https://careers-appliedsystems.icims.com/jobs/7034/software-engineer---sr-software-engineer/job?hub=15&amp;in_iframe=1&amp;mode=job&amp;iis=LinkedIn")</f>
      </c>
    </row>
    <row r="736">
      <c r="A736" t="inlineStr">
        <is>
          <t>DoorDash</t>
        </is>
      </c>
      <c r="B736" t="inlineStr">
        <is>
          <t>2026-04-03 04:38:33</t>
        </is>
      </c>
      <c r="C736" t="inlineStr">
        <is>
          <t>67ee0e8efb35b3b96ba75e2b</t>
        </is>
      </c>
      <c r="D736" t="inlineStr">
        <is>
          <t>Software Engineer, Backend (All Teams)</t>
        </is>
      </c>
      <c r="E736" t="inlineStr">
        <is>
          <t>1_Discovered</t>
        </is>
      </c>
      <c r="F736" t="inlineStr">
        <is>
          <t>fanout_batch</t>
        </is>
      </c>
      <c r="G736" t="inlineStr">
        <is>
          <t>retarget</t>
        </is>
      </c>
      <c r="H736" t="inlineStr">
        <is>
          <t>seed_cisco_backend_api</t>
        </is>
      </c>
      <c r="I736" t="inlineStr">
        <is>
          <t>Cisco Backend API</t>
        </is>
      </c>
      <c r="J736"/>
      <c r="K736"/>
      <c r="L736"/>
      <c r="M736"/>
      <c r="N736">
        <v>95.6</v>
      </c>
      <c r="O736" t="inlineStr">
        <is>
          <t>pass</t>
        </is>
      </c>
      <c r="P736">
        <f>HYPERLINK("file:///Users/jingyizhang/Documents/Playground/projects/local_job_resume_pipeline/data/deliverables/resume_portfolio/by_company/doordash/2026-04-03/67ee0e8efb35b3b96ba75e2b/resume.md","/Users/jingyizhang/Documents/Playground/projects/local_job_resume_pipeline/data/deliverables/resume_portfolio/by_company/doordash/2026-04-03/67ee0e8efb35b3b96ba75e2b/resume.md")</f>
      </c>
      <c r="Q736"/>
      <c r="R736">
        <f>HYPERLINK("https://boards.greenhouse.io/embed/job_app?token=5630445&amp;utm_source=jobright","https://boards.greenhouse.io/embed/job_app?token=5630445&amp;utm_source=jobright")</f>
      </c>
    </row>
    <row r="737">
      <c r="A737" t="inlineStr">
        <is>
          <t>SharkNinja</t>
        </is>
      </c>
      <c r="B737" t="inlineStr">
        <is>
          <t>2026-04-03 04:27:40</t>
        </is>
      </c>
      <c r="C737" t="inlineStr">
        <is>
          <t>69cf880ccdb525785fba35fe</t>
        </is>
      </c>
      <c r="D737" t="inlineStr">
        <is>
          <t>Fall 2026: Applied AI &amp; Analytics Co-op (July to December)</t>
        </is>
      </c>
      <c r="E737" t="inlineStr">
        <is>
          <t>1_Discovered</t>
        </is>
      </c>
      <c r="F737" t="inlineStr">
        <is>
          <t>fanout_batch</t>
        </is>
      </c>
      <c r="G737" t="inlineStr">
        <is>
          <t>retarget</t>
        </is>
      </c>
      <c r="H737" t="inlineStr">
        <is>
          <t>seed_h2o_ai_engineer</t>
        </is>
      </c>
      <c r="I737" t="inlineStr">
        <is>
          <t>H2O AI Engineer</t>
        </is>
      </c>
      <c r="J737"/>
      <c r="K737"/>
      <c r="L737"/>
      <c r="M737"/>
      <c r="N737">
        <v>93.4</v>
      </c>
      <c r="O737" t="inlineStr">
        <is>
          <t>pass</t>
        </is>
      </c>
      <c r="P737">
        <f>HYPERLINK("file:///Users/jingyizhang/Documents/Playground/projects/local_job_resume_pipeline/data/deliverables/resume_portfolio/by_company/sharkninja/2026-04-03/69cf880ccdb525785fba35fe/resume.md","/Users/jingyizhang/Documents/Playground/projects/local_job_resume_pipeline/data/deliverables/resume_portfolio/by_company/sharkninja/2026-04-03/69cf880ccdb525785fba35fe/resume.md")</f>
      </c>
      <c r="Q737"/>
      <c r="R737">
        <f>HYPERLINK("https://careers.sharkninja.com/job/-/-/47204/93502704480?gh_src=4c950fc46us","https://careers.sharkninja.com/job/-/-/47204/93502704480?gh_src=4c950fc46us")</f>
      </c>
    </row>
    <row r="738">
      <c r="A738" t="inlineStr">
        <is>
          <t>Nordstrom</t>
        </is>
      </c>
      <c r="B738" t="inlineStr">
        <is>
          <t>2026-04-03 04:26:26</t>
        </is>
      </c>
      <c r="C738" t="inlineStr">
        <is>
          <t>69cf87c254f00230c6d0afa9</t>
        </is>
      </c>
      <c r="D738" t="inlineStr">
        <is>
          <t>Delivery Platform Software Engineer 1 - Developer Tools Team (Hybrid - Seattle, WA)</t>
        </is>
      </c>
      <c r="E738" t="inlineStr">
        <is>
          <t>1_Discovered</t>
        </is>
      </c>
      <c r="F738" t="inlineStr">
        <is>
          <t>fanout_batch</t>
        </is>
      </c>
      <c r="G738" t="inlineStr">
        <is>
          <t>retarget</t>
        </is>
      </c>
      <c r="H738" t="inlineStr">
        <is>
          <t>seed_cisco_backend_api</t>
        </is>
      </c>
      <c r="I738" t="inlineStr">
        <is>
          <t>Cisco Backend API</t>
        </is>
      </c>
      <c r="J738"/>
      <c r="K738"/>
      <c r="L738"/>
      <c r="M738"/>
      <c r="N738">
        <v>91.5</v>
      </c>
      <c r="O738" t="inlineStr">
        <is>
          <t>conditional_pass</t>
        </is>
      </c>
      <c r="P738">
        <f>HYPERLINK("file:///Users/jingyizhang/Documents/Playground/projects/local_job_resume_pipeline/data/deliverables/resume_portfolio/by_company/nordstrom/2026-04-03/69cf87c254f00230c6d0afa9/resume.md","/Users/jingyizhang/Documents/Playground/projects/local_job_resume_pipeline/data/deliverables/resume_portfolio/by_company/nordstrom/2026-04-03/69cf87c254f00230c6d0afa9/resume.md")</f>
      </c>
      <c r="Q738"/>
      <c r="R738">
        <f>HYPERLINK("https://careers.nordstrom.com/delivery-platform-software-engineer-1-developer-tools-team-hybrid-seattle-wa/job/F0D7F5BD2B09B655D8CA382151C62D1D?source=LinkedIn","https://careers.nordstrom.com/delivery-platform-software-engineer-1-developer-tools-team-hybrid-seattle-wa/job/F0D7F5BD2B09B655D8CA382151C62D1D?source=LinkedIn")</f>
      </c>
    </row>
    <row r="739">
      <c r="A739" t="inlineStr">
        <is>
          <t>Adobe</t>
        </is>
      </c>
      <c r="B739" t="inlineStr">
        <is>
          <t>2026-04-03 04:25:58</t>
        </is>
      </c>
      <c r="C739" t="inlineStr">
        <is>
          <t>69b34102a8ac8e70ff67819b</t>
        </is>
      </c>
      <c r="D739" t="inlineStr">
        <is>
          <t>Sr Machine Learning Engineer</t>
        </is>
      </c>
      <c r="E739" t="inlineStr">
        <is>
          <t>1_Discovered</t>
        </is>
      </c>
      <c r="F739" t="inlineStr">
        <is>
          <t>fanout_batch</t>
        </is>
      </c>
      <c r="G739" t="inlineStr">
        <is>
          <t>reuse</t>
        </is>
      </c>
      <c r="H739" t="inlineStr">
        <is>
          <t>seed_linkedin_mle_foundation</t>
        </is>
      </c>
      <c r="I739" t="inlineStr">
        <is>
          <t>LinkedIn MLE Foundation</t>
        </is>
      </c>
      <c r="J739"/>
      <c r="K739"/>
      <c r="L739"/>
      <c r="M739"/>
      <c r="N739"/>
      <c r="O739"/>
      <c r="P739"/>
      <c r="Q739"/>
      <c r="R739">
        <f>HYPERLINK("https://careers.adobe.com/us/en/job/ADOBUSR166620EXTERNALENUS/Sr-Machine-Learning-Engineer?utm_source=linkedin&amp;utm_medium=phenom-feeds&amp;source=LinkedIn","https://careers.adobe.com/us/en/job/ADOBUSR166620EXTERNALENUS/Sr-Machine-Learning-Engineer?utm_source=linkedin&amp;utm_medium=phenom-feeds&amp;source=LinkedIn")</f>
      </c>
    </row>
    <row r="740">
      <c r="A740" t="inlineStr">
        <is>
          <t>Gartner</t>
        </is>
      </c>
      <c r="B740" t="inlineStr">
        <is>
          <t>2026-04-03 04:25:16</t>
        </is>
      </c>
      <c r="C740" t="inlineStr">
        <is>
          <t>69ab43917e1fab39d382dc0b</t>
        </is>
      </c>
      <c r="D740" t="inlineStr">
        <is>
          <t>Data Scientist</t>
        </is>
      </c>
      <c r="E740" t="inlineStr">
        <is>
          <t>1_Discovered</t>
        </is>
      </c>
      <c r="F740" t="inlineStr">
        <is>
          <t>fanout_batch</t>
        </is>
      </c>
      <c r="G740" t="inlineStr">
        <is>
          <t>retarget</t>
        </is>
      </c>
      <c r="H740" t="inlineStr">
        <is>
          <t>seed_linkedin_mle_foundation</t>
        </is>
      </c>
      <c r="I740" t="inlineStr">
        <is>
          <t>LinkedIn MLE Foundation</t>
        </is>
      </c>
      <c r="J740"/>
      <c r="K740"/>
      <c r="L740"/>
      <c r="M740"/>
      <c r="N740">
        <v>95.2</v>
      </c>
      <c r="O740" t="inlineStr">
        <is>
          <t>pass</t>
        </is>
      </c>
      <c r="P740">
        <f>HYPERLINK("file:///Users/jingyizhang/Documents/Playground/projects/local_job_resume_pipeline/data/deliverables/resume_portfolio/by_company/gartner/2026-04-03/69ab43917e1fab39d382dc0b/resume.md","/Users/jingyizhang/Documents/Playground/projects/local_job_resume_pipeline/data/deliverables/resume_portfolio/by_company/gartner/2026-04-03/69ab43917e1fab39d382dc0b/resume.md")</f>
      </c>
      <c r="Q740"/>
      <c r="R740">
        <f>HYPERLINK("https://gartner.wd5.myworkdayjobs.com/EXT/job/Stamford-CT/Data-Scientist_106172","https://gartner.wd5.myworkdayjobs.com/EXT/job/Stamford-CT/Data-Scientist_106172")</f>
      </c>
    </row>
    <row r="741">
      <c r="A741" t="inlineStr">
        <is>
          <t>HealthEquity</t>
        </is>
      </c>
      <c r="B741" t="inlineStr">
        <is>
          <t>2026-04-03 04:23:36</t>
        </is>
      </c>
      <c r="C741" t="inlineStr">
        <is>
          <t>6997e0cece78e77b4fdc5857</t>
        </is>
      </c>
      <c r="D741" t="inlineStr">
        <is>
          <t>Software Engineer II</t>
        </is>
      </c>
      <c r="E741" t="inlineStr">
        <is>
          <t>1_Discovered</t>
        </is>
      </c>
      <c r="F741" t="inlineStr">
        <is>
          <t>fanout_batch</t>
        </is>
      </c>
      <c r="G741" t="inlineStr">
        <is>
          <t>retarget</t>
        </is>
      </c>
      <c r="H741" t="inlineStr">
        <is>
          <t>seed_generalist_dotnet_enterprise</t>
        </is>
      </c>
      <c r="I741" t="inlineStr">
        <is>
          <t>Generalist DotNet Enterprise</t>
        </is>
      </c>
      <c r="J741"/>
      <c r="K741"/>
      <c r="L741"/>
      <c r="M741"/>
      <c r="N741">
        <v>94.3</v>
      </c>
      <c r="O741" t="inlineStr">
        <is>
          <t>pass</t>
        </is>
      </c>
      <c r="P741">
        <f>HYPERLINK("file:///Users/jingyizhang/Documents/Playground/projects/local_job_resume_pipeline/data/deliverables/resume_portfolio/by_company/healthequity/2026-04-03/6997e0cece78e77b4fdc5857/resume.md","/Users/jingyizhang/Documents/Playground/projects/local_job_resume_pipeline/data/deliverables/resume_portfolio/by_company/healthequity/2026-04-03/6997e0cece78e77b4fdc5857/resume.md")</f>
      </c>
      <c r="Q741"/>
      <c r="R741">
        <f>HYPERLINK("https://careers-healthequity.icims.com/jobs/8038/software-engineer-ii/job?in_iframe=1&amp;source=LinkedIn&amp;mode=job&amp;iis=LinkedIn&amp;iisn=LinkedIntsep","https://careers-healthequity.icims.com/jobs/8038/software-engineer-ii/job?in_iframe=1&amp;source=LinkedIn&amp;mode=job&amp;iis=LinkedIn&amp;iisn=LinkedIntsep")</f>
      </c>
    </row>
    <row r="742">
      <c r="A742" t="inlineStr">
        <is>
          <t>DoorDash</t>
        </is>
      </c>
      <c r="B742" t="inlineStr">
        <is>
          <t>2026-04-03 04:23:07</t>
        </is>
      </c>
      <c r="C742" t="inlineStr">
        <is>
          <t>66a819dc6347bb7b60365ac3</t>
        </is>
      </c>
      <c r="D742" t="inlineStr">
        <is>
          <t>Data Scientist / Senior Data Scientist</t>
        </is>
      </c>
      <c r="E742" t="inlineStr">
        <is>
          <t>1_Discovered</t>
        </is>
      </c>
      <c r="F742" t="inlineStr">
        <is>
          <t>fanout_batch</t>
        </is>
      </c>
      <c r="G742" t="inlineStr">
        <is>
          <t>retarget</t>
        </is>
      </c>
      <c r="H742" t="inlineStr">
        <is>
          <t>seed_h2o_ai_engineer</t>
        </is>
      </c>
      <c r="I742" t="inlineStr">
        <is>
          <t>H2O AI Engineer</t>
        </is>
      </c>
      <c r="J742"/>
      <c r="K742"/>
      <c r="L742"/>
      <c r="M742"/>
      <c r="N742">
        <v>95.4</v>
      </c>
      <c r="O742" t="inlineStr">
        <is>
          <t>pass</t>
        </is>
      </c>
      <c r="P742">
        <f>HYPERLINK("file:///Users/jingyizhang/Documents/Playground/projects/local_job_resume_pipeline/data/deliverables/resume_portfolio/by_company/doordash/2026-04-03/66a819dc6347bb7b60365ac3/resume.md","/Users/jingyizhang/Documents/Playground/projects/local_job_resume_pipeline/data/deliverables/resume_portfolio/by_company/doordash/2026-04-03/66a819dc6347bb7b60365ac3/resume.md")</f>
      </c>
      <c r="Q742"/>
      <c r="R742">
        <f>HYPERLINK("https://boards.greenhouse.io/embed/job_app?token=6103225&amp;utm_source=jobright","https://boards.greenhouse.io/embed/job_app?token=6103225&amp;utm_source=jobright")</f>
      </c>
    </row>
    <row r="743">
      <c r="A743" t="inlineStr">
        <is>
          <t>Uber</t>
        </is>
      </c>
      <c r="B743" t="inlineStr">
        <is>
          <t>2026-04-03 02:32:11</t>
        </is>
      </c>
      <c r="C743" t="inlineStr">
        <is>
          <t>69cf6cfb398fb071abf90141</t>
        </is>
      </c>
      <c r="D743" t="inlineStr">
        <is>
          <t>Sr Software Engineer</t>
        </is>
      </c>
      <c r="E743" t="inlineStr">
        <is>
          <t>1_Discovered</t>
        </is>
      </c>
      <c r="F743" t="inlineStr">
        <is>
          <t>fanout_batch</t>
        </is>
      </c>
      <c r="G743" t="inlineStr">
        <is>
          <t>reuse</t>
        </is>
      </c>
      <c r="H743" t="inlineStr">
        <is>
          <t>seed_spotify_backend_music</t>
        </is>
      </c>
      <c r="I743" t="inlineStr">
        <is>
          <t>Spotify Backend Music</t>
        </is>
      </c>
      <c r="J743"/>
      <c r="K743"/>
      <c r="L743"/>
      <c r="M743"/>
      <c r="N743"/>
      <c r="O743"/>
      <c r="P743"/>
      <c r="Q743"/>
      <c r="R743">
        <f>HYPERLINK("https://tnl2.jometer.com/v2/job?jz=5wqzs8b91638b72435a9b1437c86178a36184KMALBBQAAADQ&amp;iis=Job%20Board%20-%20Recruitment%20Marketing&amp;iisn=LinkedIn","https://tnl2.jometer.com/v2/job?jz=5wqzs8b91638b72435a9b1437c86178a36184KMALBBQAAADQ&amp;iis=Job%20Board%20-%20Recruitment%20Marketing&amp;iisn=LinkedIn")</f>
      </c>
    </row>
    <row r="744">
      <c r="A744" t="inlineStr">
        <is>
          <t>Zendesk</t>
        </is>
      </c>
      <c r="B744" t="inlineStr">
        <is>
          <t>2026-04-03 01:54:31</t>
        </is>
      </c>
      <c r="C744" t="inlineStr">
        <is>
          <t>69cf642754f00230c6d096cb</t>
        </is>
      </c>
      <c r="D744" t="inlineStr">
        <is>
          <t>Senior Analyst, Enterprise Analytics (Austin, TX - Based)</t>
        </is>
      </c>
      <c r="E744" t="inlineStr">
        <is>
          <t>1_Discovered</t>
        </is>
      </c>
      <c r="F744" t="inlineStr">
        <is>
          <t>fanout_batch</t>
        </is>
      </c>
      <c r="G744" t="inlineStr">
        <is>
          <t>retarget</t>
        </is>
      </c>
      <c r="H744" t="inlineStr">
        <is>
          <t>seed_plaid_data_scientist</t>
        </is>
      </c>
      <c r="I744" t="inlineStr">
        <is>
          <t>Plaid Data Scientist</t>
        </is>
      </c>
      <c r="J744"/>
      <c r="K744"/>
      <c r="L744"/>
      <c r="M744"/>
      <c r="N744">
        <v>93.2</v>
      </c>
      <c r="O744" t="inlineStr">
        <is>
          <t>pass</t>
        </is>
      </c>
      <c r="P744">
        <f>HYPERLINK("file:///Users/jingyizhang/Documents/Playground/projects/local_job_resume_pipeline/data/deliverables/resume_portfolio/by_company/zendesk/2026-04-03/69cf642754f00230c6d096cb/resume.md","/Users/jingyizhang/Documents/Playground/projects/local_job_resume_pipeline/data/deliverables/resume_portfolio/by_company/zendesk/2026-04-03/69cf642754f00230c6d096cb/resume.md")</f>
      </c>
      <c r="Q744"/>
      <c r="R744">
        <f>HYPERLINK("https://zendesk.wd1.myworkdayjobs.com/zendesk/job/Austin-Texas-United-States-of-America/Senior-Analyst--Enterprise-Analytics_R34182","https://zendesk.wd1.myworkdayjobs.com/zendesk/job/Austin-Texas-United-States-of-America/Senior-Analyst--Enterprise-Analytics_R34182")</f>
      </c>
    </row>
    <row r="745">
      <c r="A745" t="inlineStr">
        <is>
          <t>Amazon</t>
        </is>
      </c>
      <c r="B745" t="inlineStr">
        <is>
          <t>2026-04-03 00:34:54</t>
        </is>
      </c>
      <c r="C745" t="inlineStr">
        <is>
          <t>69cf517ecdb525785fba14b7</t>
        </is>
      </c>
      <c r="D745" t="inlineStr">
        <is>
          <t>Software Development Engineer, Video Advertising Signals and Insights</t>
        </is>
      </c>
      <c r="E745" t="inlineStr">
        <is>
          <t>1_Discovered</t>
        </is>
      </c>
      <c r="F745" t="inlineStr">
        <is>
          <t>retarget_trial</t>
        </is>
      </c>
      <c r="G745" t="inlineStr">
        <is>
          <t>new_seed</t>
        </is>
      </c>
      <c r="H745" t="inlineStr">
        <is>
          <t>seed_amazon_management_plane_anchor_candidate</t>
        </is>
      </c>
      <c r="I745" t="inlineStr">
        <is>
          <t>Amazon Management Plane Anchor</t>
        </is>
      </c>
      <c r="J745" t="inlineStr">
        <is>
          <t>amazon_platform_mainline</t>
        </is>
      </c>
      <c r="K745" t="inlineStr">
        <is>
          <t>mainline</t>
        </is>
      </c>
      <c r="L745"/>
      <c r="M745"/>
      <c r="N745">
        <v>93.7</v>
      </c>
      <c r="O745" t="inlineStr">
        <is>
          <t>pass</t>
        </is>
      </c>
      <c r="P745">
        <f>HYPERLINK("file:///Users/jingyizhang/Documents/Playground/projects/local_job_resume_pipeline/data/deliverables/resume_portfolio/by_company/amazon/2026-04-03/69cf517ecdb525785fba14b7/resume.md","/Users/jingyizhang/Documents/Playground/projects/local_job_resume_pipeline/data/deliverables/resume_portfolio/by_company/amazon/2026-04-03/69cf517ecdb525785fba14b7/resume.md")</f>
      </c>
      <c r="Q745"/>
      <c r="R745">
        <f>HYPERLINK("https://www.amazon.jobs/jobs/10379082/software-development-engineer-video-advertising-signals-and-insights?cmpid=SPLICX0248M&amp;utm_source=linkedin.com&amp;utm_campaign=cxro&amp;utm_medium=social_media&amp;utm_content=job_posting&amp;ss=paid","https://www.amazon.jobs/jobs/10379082/software-development-engineer-video-advertising-signals-and-insights?cmpid=SPLICX0248M&amp;utm_source=linkedin.com&amp;utm_campaign=cxro&amp;utm_medium=social_media&amp;utm_content=job_posting&amp;ss=paid")</f>
      </c>
    </row>
    <row r="746">
      <c r="A746" t="inlineStr">
        <is>
          <t>JPMorganChase</t>
        </is>
      </c>
      <c r="B746" t="inlineStr">
        <is>
          <t>2026-04-03 00:32:54</t>
        </is>
      </c>
      <c r="C746" t="inlineStr">
        <is>
          <t>69cf5106891d7b11cfcd2784</t>
        </is>
      </c>
      <c r="D746" t="inlineStr">
        <is>
          <t>Data Scientist Associate - Payments</t>
        </is>
      </c>
      <c r="E746" t="inlineStr">
        <is>
          <t>1_Discovered</t>
        </is>
      </c>
      <c r="F746" t="inlineStr">
        <is>
          <t>fanout_batch</t>
        </is>
      </c>
      <c r="G746" t="inlineStr">
        <is>
          <t>reuse</t>
        </is>
      </c>
      <c r="H746" t="inlineStr">
        <is>
          <t>seed_jpmc_data_mlops_anchor</t>
        </is>
      </c>
      <c r="I746" t="inlineStr">
        <is>
          <t>JPMorganChase Data Platform/MLOps Anchor</t>
        </is>
      </c>
      <c r="J746" t="inlineStr">
        <is>
          <t>jpmc_data_mlops_mainline</t>
        </is>
      </c>
      <c r="K746" t="inlineStr">
        <is>
          <t>mainline</t>
        </is>
      </c>
      <c r="L746"/>
      <c r="M746"/>
      <c r="N746"/>
      <c r="O746"/>
      <c r="P746"/>
      <c r="Q746"/>
      <c r="R746">
        <f>HYPERLINK("https://jpmc.fa.oraclecloud.com/hcmUI/CandidateExperience/en/sites/CX_1001/job/210728431","https://jpmc.fa.oraclecloud.com/hcmUI/CandidateExperience/en/sites/CX_1001/job/210728431")</f>
      </c>
    </row>
    <row r="747">
      <c r="A747" t="inlineStr">
        <is>
          <t>Uber</t>
        </is>
      </c>
      <c r="B747" t="inlineStr">
        <is>
          <t>2026-04-03 00:14:43</t>
        </is>
      </c>
      <c r="C747" t="inlineStr">
        <is>
          <t>69cf4cc3cdb525785fba1377</t>
        </is>
      </c>
      <c r="D747" t="inlineStr">
        <is>
          <t>Software Engineer II - Back-end &amp; ML/AI Infra</t>
        </is>
      </c>
      <c r="E747" t="inlineStr">
        <is>
          <t>1_Discovered</t>
        </is>
      </c>
      <c r="F747" t="inlineStr">
        <is>
          <t>fanout_batch</t>
        </is>
      </c>
      <c r="G747" t="inlineStr">
        <is>
          <t>retarget</t>
        </is>
      </c>
      <c r="H747" t="inlineStr">
        <is>
          <t>seed_google_cloud_infra_anchor_candidate</t>
        </is>
      </c>
      <c r="I747" t="inlineStr">
        <is>
          <t>Google Cloud Infra Anchor</t>
        </is>
      </c>
      <c r="J747" t="inlineStr">
        <is>
          <t>google_cloud_infra_mainline</t>
        </is>
      </c>
      <c r="K747" t="inlineStr">
        <is>
          <t>mainline</t>
        </is>
      </c>
      <c r="L747"/>
      <c r="M747"/>
      <c r="N747">
        <v>95.4</v>
      </c>
      <c r="O747" t="inlineStr">
        <is>
          <t>pass</t>
        </is>
      </c>
      <c r="P747">
        <f>HYPERLINK("file:///Users/jingyizhang/Documents/Playground/projects/local_job_resume_pipeline/data/deliverables/resume_portfolio/by_company/uber/2026-04-03/69cf4cc3cdb525785fba1377/resume.md","/Users/jingyizhang/Documents/Playground/projects/local_job_resume_pipeline/data/deliverables/resume_portfolio/by_company/uber/2026-04-03/69cf4cc3cdb525785fba1377/resume.md")</f>
      </c>
      <c r="Q747"/>
      <c r="R747">
        <f>HYPERLINK("https://tnl2.jometer.com/v2/job?jz=5wqzsca55740be44483b77aec0060e33e8588KMAGUCAAAABQ&amp;iis=Job%20Board%20-%20Recruitment%20Marketing&amp;iisn=LinkedIn","https://tnl2.jometer.com/v2/job?jz=5wqzsca55740be44483b77aec0060e33e8588KMAGUCAAAABQ&amp;iis=Job%20Board%20-%20Recruitment%20Marketing&amp;iisn=LinkedIn")</f>
      </c>
    </row>
    <row r="748">
      <c r="A748" t="inlineStr">
        <is>
          <t>Thermo Fisher Scientific</t>
        </is>
      </c>
      <c r="B748" t="inlineStr">
        <is>
          <t>2026-04-02 23:32:49</t>
        </is>
      </c>
      <c r="C748" t="inlineStr">
        <is>
          <t>69cf42f1398fb071abf8e4d0</t>
        </is>
      </c>
      <c r="D748" t="inlineStr">
        <is>
          <t>Data Scientist II</t>
        </is>
      </c>
      <c r="E748" t="inlineStr">
        <is>
          <t>1_Discovered</t>
        </is>
      </c>
      <c r="F748" t="inlineStr">
        <is>
          <t>fanout_batch</t>
        </is>
      </c>
      <c r="G748" t="inlineStr">
        <is>
          <t>retarget</t>
        </is>
      </c>
      <c r="H748" t="inlineStr">
        <is>
          <t>seed_qualified_health_data_engineer</t>
        </is>
      </c>
      <c r="I748" t="inlineStr">
        <is>
          <t>Qualified Health Data Engineer</t>
        </is>
      </c>
      <c r="J748"/>
      <c r="K748"/>
      <c r="L748"/>
      <c r="M748"/>
      <c r="N748">
        <v>97.1</v>
      </c>
      <c r="O748" t="inlineStr">
        <is>
          <t>pass</t>
        </is>
      </c>
      <c r="P748">
        <f>HYPERLINK("file:///Users/jingyizhang/Documents/Playground/projects/local_job_resume_pipeline/data/deliverables/resume_portfolio/by_company/thermo-fisher-scientific/2026-04-02/69cf42f1398fb071abf8e4d0/resume.md","/Users/jingyizhang/Documents/Playground/projects/local_job_resume_pipeline/data/deliverables/resume_portfolio/by_company/thermo-fisher-scientific/2026-04-02/69cf42f1398fb071abf8e4d0/resume.md")</f>
      </c>
      <c r="Q748"/>
      <c r="R748">
        <f>HYPERLINK("https://jobs.thermofisher.com/global/en/job/R-01346977/Data-Scientist-II?rx_ch=jobpost&amp;rx_id=84461ac0-2ed3-11f1-a8ec-a706c57a8dc3&amp;rx_job=R-01346977&amp;rx_medium=post&amp;rx_paid=0&amp;rx_r=none&amp;rx_source=linkedin&amp;rx_ts=20260403T024003Z&amp;rx_vp=linkedindirectindex&amp;utm_medium=post&amp;utm_source=jobright","https://jobs.thermofisher.com/global/en/job/R-01346977/Data-Scientist-II?rx_ch=jobpost&amp;rx_id=84461ac0-2ed3-11f1-a8ec-a706c57a8dc3&amp;rx_job=R-01346977&amp;rx_medium=post&amp;rx_paid=0&amp;rx_r=none&amp;rx_source=linkedin&amp;rx_ts=20260403T024003Z&amp;rx_vp=linkedindirectindex&amp;utm_medium=post&amp;utm_source=jobright")</f>
      </c>
    </row>
    <row r="749">
      <c r="A749" t="inlineStr">
        <is>
          <t>Apple</t>
        </is>
      </c>
      <c r="B749" t="inlineStr">
        <is>
          <t>2026-04-02 22:13:40</t>
        </is>
      </c>
      <c r="C749" t="inlineStr">
        <is>
          <t>69cf3064891d7b11cfcd0cb8</t>
        </is>
      </c>
      <c r="D749" t="inlineStr">
        <is>
          <t>AI/ML Engineer, Applied Data Science</t>
        </is>
      </c>
      <c r="E749" t="inlineStr">
        <is>
          <t>1_Discovered</t>
        </is>
      </c>
      <c r="F749" t="inlineStr">
        <is>
          <t>fanout_batch</t>
        </is>
      </c>
      <c r="G749" t="inlineStr">
        <is>
          <t>retarget</t>
        </is>
      </c>
      <c r="H749" t="inlineStr">
        <is>
          <t>seed_h2o_ai_engineer</t>
        </is>
      </c>
      <c r="I749" t="inlineStr">
        <is>
          <t>H2O AI Engineer</t>
        </is>
      </c>
      <c r="J749"/>
      <c r="K749"/>
      <c r="L749"/>
      <c r="M749"/>
      <c r="N749">
        <v>91.1</v>
      </c>
      <c r="O749" t="inlineStr">
        <is>
          <t>conditional_pass</t>
        </is>
      </c>
      <c r="P749">
        <f>HYPERLINK("file:///Users/jingyizhang/Documents/Playground/projects/local_job_resume_pipeline/data/deliverables/resume_portfolio/by_company/apple/2026-04-02/69cf3064891d7b11cfcd0cb8/resume.md","/Users/jingyizhang/Documents/Playground/projects/local_job_resume_pipeline/data/deliverables/resume_portfolio/by_company/apple/2026-04-02/69cf3064891d7b11cfcd0cb8/resume.md")</f>
      </c>
      <c r="Q749"/>
      <c r="R749">
        <f>HYPERLINK("https://jobs.apple.com/en-us/details/200653879-0836/ai-ml-engineer-applied-data-science?team=CORSV","https://jobs.apple.com/en-us/details/200653879-0836/ai-ml-engineer-applied-data-science?team=CORSV")</f>
      </c>
    </row>
    <row r="750">
      <c r="A750" t="inlineStr">
        <is>
          <t>Nordstrom</t>
        </is>
      </c>
      <c r="B750" t="inlineStr">
        <is>
          <t>2026-04-02 21:51:33</t>
        </is>
      </c>
      <c r="C750" t="inlineStr">
        <is>
          <t>69cf2b35398fb071abf8cb0d</t>
        </is>
      </c>
      <c r="D750" t="inlineStr">
        <is>
          <t>Delivery Platform Software Engineer 1 - Developer Tools Team (Hybrid - Seattle, WA)</t>
        </is>
      </c>
      <c r="E750" t="inlineStr">
        <is>
          <t>1_Discovered</t>
        </is>
      </c>
      <c r="F750" t="inlineStr">
        <is>
          <t>fanout_batch</t>
        </is>
      </c>
      <c r="G750" t="inlineStr">
        <is>
          <t>retarget</t>
        </is>
      </c>
      <c r="H750" t="inlineStr">
        <is>
          <t>seed_cisco_backend_api</t>
        </is>
      </c>
      <c r="I750" t="inlineStr">
        <is>
          <t>Cisco Backend API</t>
        </is>
      </c>
      <c r="J750"/>
      <c r="K750"/>
      <c r="L750"/>
      <c r="M750"/>
      <c r="N750">
        <v>95.8</v>
      </c>
      <c r="O750" t="inlineStr">
        <is>
          <t>pass</t>
        </is>
      </c>
      <c r="P750">
        <f>HYPERLINK("file:///Users/jingyizhang/Documents/Playground/projects/local_job_resume_pipeline/data/deliverables/resume_portfolio/by_company/nordstrom/2026-04-02/69cf2b35398fb071abf8cb0d/resume.md","/Users/jingyizhang/Documents/Playground/projects/local_job_resume_pipeline/data/deliverables/resume_portfolio/by_company/nordstrom/2026-04-02/69cf2b35398fb071abf8cb0d/resume.md")</f>
      </c>
      <c r="Q750"/>
      <c r="R750">
        <f>HYPERLINK("https://nordstrom.wd501.myworkdayjobs.com/nordstrom_careers/job/Seattle-WA/Delivery-Platform-Software-Engineer-1---Developer-Tools-Team--Hybrid---Seattle--WA-_R-824993","https://nordstrom.wd501.myworkdayjobs.com/nordstrom_careers/job/Seattle-WA/Delivery-Platform-Software-Engineer-1---Developer-Tools-Team--Hybrid---Seattle--WA-_R-824993")</f>
      </c>
    </row>
    <row r="751">
      <c r="A751" t="inlineStr">
        <is>
          <t>Thomson Reuters</t>
        </is>
      </c>
      <c r="B751" t="inlineStr">
        <is>
          <t>2026-04-02 21:22:36</t>
        </is>
      </c>
      <c r="C751" t="inlineStr">
        <is>
          <t>69cf246ccfdc6132f942fe07</t>
        </is>
      </c>
      <c r="D751" t="inlineStr">
        <is>
          <t>Senior Software Engineer, Full Stack</t>
        </is>
      </c>
      <c r="E751" t="inlineStr">
        <is>
          <t>1_Discovered</t>
        </is>
      </c>
      <c r="F751" t="inlineStr">
        <is>
          <t>fanout_batch</t>
        </is>
      </c>
      <c r="G751" t="inlineStr">
        <is>
          <t>retarget</t>
        </is>
      </c>
      <c r="H751" t="inlineStr">
        <is>
          <t>seed_egen_fullstack_node</t>
        </is>
      </c>
      <c r="I751" t="inlineStr">
        <is>
          <t>Egen Fullstack Node</t>
        </is>
      </c>
      <c r="J751"/>
      <c r="K751"/>
      <c r="L751"/>
      <c r="M751"/>
      <c r="N751">
        <v>95.1</v>
      </c>
      <c r="O751" t="inlineStr">
        <is>
          <t>pass</t>
        </is>
      </c>
      <c r="P751">
        <f>HYPERLINK("file:///Users/jingyizhang/Documents/Playground/projects/local_job_resume_pipeline/data/deliverables/resume_portfolio/by_company/thomson-reuters/2026-04-02/69cf246ccfdc6132f942fe07/resume.md","/Users/jingyizhang/Documents/Playground/projects/local_job_resume_pipeline/data/deliverables/resume_portfolio/by_company/thomson-reuters/2026-04-02/69cf246ccfdc6132f942fe07/resume.md")</f>
      </c>
      <c r="Q751"/>
      <c r="R751">
        <f>HYPERLINK("https://thomsonreuters.wd5.myworkdayjobs.com/External_Career_Site/job/United-States-of-America-New-York-New-York/Senior-Software-Engineer--Full-Stack_JREQ199749-1?source=LinkedIn","https://thomsonreuters.wd5.myworkdayjobs.com/External_Career_Site/job/United-States-of-America-New-York-New-York/Senior-Software-Engineer--Full-Stack_JREQ199749-1?source=LinkedIn")</f>
      </c>
    </row>
    <row r="752">
      <c r="A752" t="inlineStr">
        <is>
          <t>Microsoft</t>
        </is>
      </c>
      <c r="B752" t="inlineStr">
        <is>
          <t>2026-04-02 21:00:25</t>
        </is>
      </c>
      <c r="C752" t="inlineStr">
        <is>
          <t>69cf6422398fb071abf8f54c</t>
        </is>
      </c>
      <c r="D752" t="inlineStr">
        <is>
          <t>Software Engineer II-People &amp; Work Intelligence</t>
        </is>
      </c>
      <c r="E752" t="inlineStr">
        <is>
          <t>1_Discovered</t>
        </is>
      </c>
      <c r="F752" t="inlineStr">
        <is>
          <t>fanout_batch</t>
        </is>
      </c>
      <c r="G752" t="inlineStr">
        <is>
          <t>reuse</t>
        </is>
      </c>
      <c r="H752" t="inlineStr">
        <is>
          <t>seed_microsoft_coreai_platform_anchor</t>
        </is>
      </c>
      <c r="I752" t="inlineStr">
        <is>
          <t>Microsoft CoreAI/BIC Platform Anchor</t>
        </is>
      </c>
      <c r="J752"/>
      <c r="K752"/>
      <c r="L752"/>
      <c r="M752"/>
      <c r="N752"/>
      <c r="O752"/>
      <c r="P752"/>
      <c r="Q752"/>
      <c r="R752">
        <f>HYPERLINK("https://apply.careers.microsoft.com/careers/job/1970393556749600/","https://apply.careers.microsoft.com/careers/job/1970393556749600/")</f>
      </c>
    </row>
    <row r="753">
      <c r="A753" t="inlineStr">
        <is>
          <t>U.S. Bank</t>
        </is>
      </c>
      <c r="B753" t="inlineStr">
        <is>
          <t>2026-04-02 20:48:22</t>
        </is>
      </c>
      <c r="C753" t="inlineStr">
        <is>
          <t>69cf1c66366bb95ba5512c23</t>
        </is>
      </c>
      <c r="D753" t="inlineStr">
        <is>
          <t>Software Engineer 1 (Data Integration &amp; ETL/ELT Development)</t>
        </is>
      </c>
      <c r="E753" t="inlineStr">
        <is>
          <t>1_Discovered</t>
        </is>
      </c>
      <c r="F753" t="inlineStr">
        <is>
          <t>fanout_batch</t>
        </is>
      </c>
      <c r="G753" t="inlineStr">
        <is>
          <t>reuse</t>
        </is>
      </c>
      <c r="H753" t="inlineStr">
        <is>
          <t>seed_qualified_health_data_engineer</t>
        </is>
      </c>
      <c r="I753" t="inlineStr">
        <is>
          <t>Qualified Health Data Engineer</t>
        </is>
      </c>
      <c r="J753"/>
      <c r="K753"/>
      <c r="L753"/>
      <c r="M753"/>
      <c r="N753"/>
      <c r="O753"/>
      <c r="P753"/>
      <c r="Q753"/>
      <c r="R753">
        <f>HYPERLINK("https://careers.usbank.com/global/en/job/UBNAGLOBAL20260007829EXTERNALENGLOBAL/Software-Engineer-1-Data-Integration-ETL-ELT-Development?utm_source=linkedin&amp;utm_medium=phenom-feeds","https://careers.usbank.com/global/en/job/UBNAGLOBAL20260007829EXTERNALENGLOBAL/Software-Engineer-1-Data-Integration-ETL-ELT-Development?utm_source=linkedin&amp;utm_medium=phenom-feeds")</f>
      </c>
    </row>
    <row r="754">
      <c r="A754" t="inlineStr">
        <is>
          <t>Informatica</t>
        </is>
      </c>
      <c r="B754" t="inlineStr">
        <is>
          <t>2026-04-02 20:43:46</t>
        </is>
      </c>
      <c r="C754" t="inlineStr">
        <is>
          <t>69cf1b52891d7b11cfcd00b6</t>
        </is>
      </c>
      <c r="D754" t="inlineStr">
        <is>
          <t>Network Automation Engineer</t>
        </is>
      </c>
      <c r="E754" t="inlineStr">
        <is>
          <t>1_Discovered</t>
        </is>
      </c>
      <c r="F754" t="inlineStr">
        <is>
          <t>fanout_batch</t>
        </is>
      </c>
      <c r="G754" t="inlineStr">
        <is>
          <t>retarget</t>
        </is>
      </c>
      <c r="H754" t="inlineStr">
        <is>
          <t>seed_paypal_java_backend</t>
        </is>
      </c>
      <c r="I754" t="inlineStr">
        <is>
          <t>PayPal Java Backend</t>
        </is>
      </c>
      <c r="J754"/>
      <c r="K754"/>
      <c r="L754"/>
      <c r="M754"/>
      <c r="N754">
        <v>90.9</v>
      </c>
      <c r="O754" t="inlineStr">
        <is>
          <t>conditional_pass</t>
        </is>
      </c>
      <c r="P754">
        <f>HYPERLINK("file:///Users/jingyizhang/Documents/Playground/projects/local_job_resume_pipeline/data/deliverables/resume_portfolio/by_company/informatica/2026-04-02/69cf1b52891d7b11cfcd00b6/resume.md","/Users/jingyizhang/Documents/Playground/projects/local_job_resume_pipeline/data/deliverables/resume_portfolio/by_company/informatica/2026-04-02/69cf1b52891d7b11cfcd00b6/resume.md")</f>
      </c>
      <c r="Q754"/>
      <c r="R754">
        <f>HYPERLINK("https://careers.salesforce.com/en/jobs/jr331234/network-automation-engineer/","https://careers.salesforce.com/en/jobs/jr331234/network-automation-engineer/")</f>
      </c>
    </row>
    <row r="755">
      <c r="A755" t="inlineStr">
        <is>
          <t>Microsoft</t>
        </is>
      </c>
      <c r="B755" t="inlineStr">
        <is>
          <t>2026-04-02 20:42:50</t>
        </is>
      </c>
      <c r="C755" t="inlineStr">
        <is>
          <t>69cf1b1acfdc6132f942fa1a</t>
        </is>
      </c>
      <c r="D755" t="inlineStr">
        <is>
          <t>Senior Software Engineer</t>
        </is>
      </c>
      <c r="E755" t="inlineStr">
        <is>
          <t>1_Discovered</t>
        </is>
      </c>
      <c r="F755" t="inlineStr">
        <is>
          <t>fanout_batch</t>
        </is>
      </c>
      <c r="G755" t="inlineStr">
        <is>
          <t>reuse</t>
        </is>
      </c>
      <c r="H755" t="inlineStr">
        <is>
          <t>seed_microsoft_coreai_platform_anchor</t>
        </is>
      </c>
      <c r="I755" t="inlineStr">
        <is>
          <t>Microsoft CoreAI/BIC Platform Anchor</t>
        </is>
      </c>
      <c r="J755"/>
      <c r="K755"/>
      <c r="L755"/>
      <c r="M755"/>
      <c r="N755"/>
      <c r="O755"/>
      <c r="P755"/>
      <c r="Q755"/>
      <c r="R755">
        <f>HYPERLINK("https://apply.careers.microsoft.com/careers/job/1970393556754360?utm_source=linkedin&amp;domain=microsoft.com&amp;src=LinkedIn","https://apply.careers.microsoft.com/careers/job/1970393556754360?utm_source=linkedin&amp;domain=microsoft.com&amp;src=LinkedIn")</f>
      </c>
    </row>
    <row r="756">
      <c r="A756" t="inlineStr">
        <is>
          <t>Affirm</t>
        </is>
      </c>
      <c r="B756" t="inlineStr">
        <is>
          <t>2026-04-02 20:42:47</t>
        </is>
      </c>
      <c r="C756" t="inlineStr">
        <is>
          <t>69cf1b17891d7b11cfcd008c</t>
        </is>
      </c>
      <c r="D756" t="inlineStr">
        <is>
          <t>Senior Software Engineer (Infrastructure)</t>
        </is>
      </c>
      <c r="E756" t="inlineStr">
        <is>
          <t>1_Discovered</t>
        </is>
      </c>
      <c r="F756" t="inlineStr">
        <is>
          <t>fanout_batch</t>
        </is>
      </c>
      <c r="G756" t="inlineStr">
        <is>
          <t>reuse</t>
        </is>
      </c>
      <c r="H756" t="inlineStr">
        <is>
          <t>seed_google_cloud_infra_anchor_candidate</t>
        </is>
      </c>
      <c r="I756" t="inlineStr">
        <is>
          <t>Google Cloud Infra Anchor</t>
        </is>
      </c>
      <c r="J756" t="inlineStr">
        <is>
          <t>google_cloud_infra_mainline</t>
        </is>
      </c>
      <c r="K756" t="inlineStr">
        <is>
          <t>mainline</t>
        </is>
      </c>
      <c r="L756"/>
      <c r="M756"/>
      <c r="N756"/>
      <c r="O756"/>
      <c r="P756"/>
      <c r="Q756"/>
      <c r="R756">
        <f>HYPERLINK("https://boards.greenhouse.io/embed/job_app?token=7687160003&amp;utm_source=jobright","https://boards.greenhouse.io/embed/job_app?token=7687160003&amp;utm_source=jobright")</f>
      </c>
    </row>
    <row r="757">
      <c r="A757" t="inlineStr">
        <is>
          <t>Arxada</t>
        </is>
      </c>
      <c r="B757" t="inlineStr">
        <is>
          <t>2026-04-02 20:42:07</t>
        </is>
      </c>
      <c r="C757" t="inlineStr">
        <is>
          <t>69cf1aef366bb95ba5512bc7</t>
        </is>
      </c>
      <c r="D757" t="inlineStr">
        <is>
          <t>R&amp;D AI Scientist - 6-Month Contract</t>
        </is>
      </c>
      <c r="E757" t="inlineStr">
        <is>
          <t>1_Discovered</t>
        </is>
      </c>
      <c r="F757" t="inlineStr">
        <is>
          <t>fanout_batch</t>
        </is>
      </c>
      <c r="G757" t="inlineStr">
        <is>
          <t>retarget</t>
        </is>
      </c>
      <c r="H757" t="inlineStr">
        <is>
          <t>seed_h2o_ai_engineer</t>
        </is>
      </c>
      <c r="I757" t="inlineStr">
        <is>
          <t>H2O AI Engineer</t>
        </is>
      </c>
      <c r="J757"/>
      <c r="K757"/>
      <c r="L757"/>
      <c r="M757"/>
      <c r="N757">
        <v>75.9</v>
      </c>
      <c r="O757" t="inlineStr">
        <is>
          <t>fail</t>
        </is>
      </c>
      <c r="P757">
        <f>HYPERLINK("file:///Users/jingyizhang/Documents/Playground/projects/local_job_resume_pipeline/data/deliverables/resume_portfolio/by_company/arxada/2026-04-02/69cf1aef366bb95ba5512bc7/resume.md","/Users/jingyizhang/Documents/Playground/projects/local_job_resume_pipeline/data/deliverables/resume_portfolio/by_company/arxada/2026-04-02/69cf1aef366bb95ba5512bc7/resume.md")</f>
      </c>
      <c r="Q757"/>
      <c r="R757">
        <f>HYPERLINK("https://lsi.wd3.myworkdayjobs.com/Arxada_Careers/job/US---Morristown-NJ/R-D-AI-Scientist_R53056?source=LinkedIn","https://lsi.wd3.myworkdayjobs.com/Arxada_Careers/job/US---Morristown-NJ/R-D-AI-Scientist_R53056?source=LinkedIn")</f>
      </c>
    </row>
    <row r="758">
      <c r="A758" t="inlineStr">
        <is>
          <t>Phenom</t>
        </is>
      </c>
      <c r="B758" t="inlineStr">
        <is>
          <t>2026-04-02 20:42:00</t>
        </is>
      </c>
      <c r="C758" t="inlineStr">
        <is>
          <t>69cf1ae8cdb525785fb9ec17</t>
        </is>
      </c>
      <c r="D758" t="inlineStr">
        <is>
          <t>Software Developer (Full Stack)</t>
        </is>
      </c>
      <c r="E758" t="inlineStr">
        <is>
          <t>1_Discovered</t>
        </is>
      </c>
      <c r="F758" t="inlineStr">
        <is>
          <t>seed_source</t>
        </is>
      </c>
      <c r="G758" t="inlineStr">
        <is>
          <t>seed_source</t>
        </is>
      </c>
      <c r="H758" t="inlineStr">
        <is>
          <t>seed_fullstack_dotnet_azure</t>
        </is>
      </c>
      <c r="I758" t="inlineStr">
        <is>
          <t>Fullstack DotNet Azure</t>
        </is>
      </c>
      <c r="J758"/>
      <c r="K758"/>
      <c r="L758"/>
      <c r="M758"/>
      <c r="N758">
        <v>95.3</v>
      </c>
      <c r="O758" t="inlineStr">
        <is>
          <t>pass</t>
        </is>
      </c>
      <c r="P758">
        <f>HYPERLINK("file:///Users/jingyizhang/Documents/Playground/projects/local_job_resume_pipeline/data/deliverables/resume_portfolio/by_company/phenom/2026-04-02/69cf1ae8cdb525785fb9ec17/resume.md","/Users/jingyizhang/Documents/Playground/projects/local_job_resume_pipeline/data/deliverables/resume_portfolio/by_company/phenom/2026-04-02/69cf1ae8cdb525785fb9ec17/resume.md")</f>
      </c>
      <c r="Q758"/>
      <c r="R758">
        <f>HYPERLINK("https://careers.phenom.com/global/en/job/P-104494/Software-Developer-Full-Stack","https://careers.phenom.com/global/en/job/P-104494/Software-Developer-Full-Stack")</f>
      </c>
    </row>
    <row r="759">
      <c r="A759" t="inlineStr">
        <is>
          <t>Yale University</t>
        </is>
      </c>
      <c r="B759" t="inlineStr">
        <is>
          <t>2026-04-02 20:41:28</t>
        </is>
      </c>
      <c r="C759" t="inlineStr">
        <is>
          <t>69cf1ac8366bb95ba5512b99</t>
        </is>
      </c>
      <c r="D759" t="inlineStr">
        <is>
          <t>IT, Software Engineer 1</t>
        </is>
      </c>
      <c r="E759" t="inlineStr">
        <is>
          <t>1_Discovered</t>
        </is>
      </c>
      <c r="F759" t="inlineStr">
        <is>
          <t>fanout_batch</t>
        </is>
      </c>
      <c r="G759" t="inlineStr">
        <is>
          <t>reuse</t>
        </is>
      </c>
      <c r="H759" t="inlineStr">
        <is>
          <t>seed_paypal_java_backend</t>
        </is>
      </c>
      <c r="I759" t="inlineStr">
        <is>
          <t>PayPal Java Backend</t>
        </is>
      </c>
      <c r="J759"/>
      <c r="K759"/>
      <c r="L759"/>
      <c r="M759"/>
      <c r="N759"/>
      <c r="O759"/>
      <c r="P759"/>
      <c r="Q759"/>
      <c r="R759">
        <f>HYPERLINK("https://careers.yale.edu/us/en/job/133728WD/IT-Software-Engineer-1?source=LinkedIn&amp;utm_source=LinkedIn&amp;utm_medium=JobBoard","https://careers.yale.edu/us/en/job/133728WD/IT-Software-Engineer-1?source=LinkedIn&amp;utm_source=LinkedIn&amp;utm_medium=JobBoard")</f>
      </c>
    </row>
    <row r="760">
      <c r="A760" t="inlineStr">
        <is>
          <t>Google</t>
        </is>
      </c>
      <c r="B760" t="inlineStr">
        <is>
          <t>2026-04-02 20:29:37</t>
        </is>
      </c>
      <c r="C760" t="inlineStr">
        <is>
          <t>69cf1801cfdc6132f942f86e</t>
        </is>
      </c>
      <c r="D760" t="inlineStr">
        <is>
          <t>Software Engineer III, Performance, AI and Infrastructure</t>
        </is>
      </c>
      <c r="E760" t="inlineStr">
        <is>
          <t>1_Discovered</t>
        </is>
      </c>
      <c r="F760" t="inlineStr">
        <is>
          <t>fanout_batch</t>
        </is>
      </c>
      <c r="G760" t="inlineStr">
        <is>
          <t>reuse</t>
        </is>
      </c>
      <c r="H760" t="inlineStr">
        <is>
          <t>seed_google_cloud_infra_anchor_candidate</t>
        </is>
      </c>
      <c r="I760" t="inlineStr">
        <is>
          <t>Google Cloud Infra Anchor</t>
        </is>
      </c>
      <c r="J760" t="inlineStr">
        <is>
          <t>google_cloud_infra_mainline</t>
        </is>
      </c>
      <c r="K760" t="inlineStr">
        <is>
          <t>mainline</t>
        </is>
      </c>
      <c r="L760"/>
      <c r="M760"/>
      <c r="N760"/>
      <c r="O760"/>
      <c r="P760"/>
      <c r="Q760"/>
      <c r="R760">
        <f>HYPERLINK("https://careers.google.com/jobs/results/129152059915018950-software-engineer-iii/?src=Online/LinkedIn/linkedin_us&amp;utm_source=linkedin&amp;utm_medium=jobposting&amp;utm_campaign=contract","https://careers.google.com/jobs/results/129152059915018950-software-engineer-iii/?src=Online/LinkedIn/linkedin_us&amp;utm_source=linkedin&amp;utm_medium=jobposting&amp;utm_campaign=contract")</f>
      </c>
    </row>
    <row r="761">
      <c r="A761" t="inlineStr">
        <is>
          <t>Avive Solutions Inc.</t>
        </is>
      </c>
      <c r="B761" t="inlineStr">
        <is>
          <t>2026-04-02 20:24:14</t>
        </is>
      </c>
      <c r="C761" t="inlineStr">
        <is>
          <t>69cf16be54f00230c6d066d1</t>
        </is>
      </c>
      <c r="D761" t="inlineStr">
        <is>
          <t>Business Systems Integration Developer</t>
        </is>
      </c>
      <c r="E761" t="inlineStr">
        <is>
          <t>1_Discovered</t>
        </is>
      </c>
      <c r="F761" t="inlineStr">
        <is>
          <t>fanout_batch</t>
        </is>
      </c>
      <c r="G761" t="inlineStr">
        <is>
          <t>retarget</t>
        </is>
      </c>
      <c r="H761" t="inlineStr">
        <is>
          <t>seed_h2o_ai_engineer</t>
        </is>
      </c>
      <c r="I761" t="inlineStr">
        <is>
          <t>H2O AI Engineer</t>
        </is>
      </c>
      <c r="J761"/>
      <c r="K761"/>
      <c r="L761"/>
      <c r="M761"/>
      <c r="N761">
        <v>93.9</v>
      </c>
      <c r="O761" t="inlineStr">
        <is>
          <t>pass</t>
        </is>
      </c>
      <c r="P761">
        <f>HYPERLINK("file:///Users/jingyizhang/Documents/Playground/projects/local_job_resume_pipeline/data/deliverables/resume_portfolio/by_company/avive-solutions-inc/2026-04-02/69cf16be54f00230c6d066d1/resume.md","/Users/jingyizhang/Documents/Playground/projects/local_job_resume_pipeline/data/deliverables/resume_portfolio/by_company/avive-solutions-inc/2026-04-02/69cf16be54f00230c6d066d1/resume.md")</f>
      </c>
      <c r="Q761"/>
      <c r="R761">
        <f>HYPERLINK("https://jobs.lever.co/AviveSolutions/a09e7a6b-fb41-4434-8423-f1ea2494230d/apply?utm_source=jobright","https://jobs.lever.co/AviveSolutions/a09e7a6b-fb41-4434-8423-f1ea2494230d/apply?utm_source=jobright")</f>
      </c>
    </row>
    <row r="762">
      <c r="A762" t="inlineStr">
        <is>
          <t>Chainguard</t>
        </is>
      </c>
      <c r="B762" t="inlineStr">
        <is>
          <t>2026-04-02 20:24:07</t>
        </is>
      </c>
      <c r="C762" t="inlineStr">
        <is>
          <t>69cf16b754f00230c6d066cf</t>
        </is>
      </c>
      <c r="D762" t="inlineStr">
        <is>
          <t>Security Engineer, Governance and Trust</t>
        </is>
      </c>
      <c r="E762" t="inlineStr">
        <is>
          <t>1_Discovered</t>
        </is>
      </c>
      <c r="F762" t="inlineStr">
        <is>
          <t>fanout_batch</t>
        </is>
      </c>
      <c r="G762" t="inlineStr">
        <is>
          <t>retarget</t>
        </is>
      </c>
      <c r="H762" t="inlineStr">
        <is>
          <t>seed_fireblocks_sre_anchor</t>
        </is>
      </c>
      <c r="I762" t="inlineStr">
        <is>
          <t>Fireblocks SRE Anchor</t>
        </is>
      </c>
      <c r="J762"/>
      <c r="K762"/>
      <c r="L762"/>
      <c r="M762"/>
      <c r="N762">
        <v>93.7</v>
      </c>
      <c r="O762" t="inlineStr">
        <is>
          <t>pass</t>
        </is>
      </c>
      <c r="P762">
        <f>HYPERLINK("file:///Users/jingyizhang/Documents/Playground/projects/local_job_resume_pipeline/data/deliverables/resume_portfolio/by_company/chainguard/2026-04-02/69cf16b754f00230c6d066cf/resume.md","/Users/jingyizhang/Documents/Playground/projects/local_job_resume_pipeline/data/deliverables/resume_portfolio/by_company/chainguard/2026-04-02/69cf16b754f00230c6d066cf/resume.md")</f>
      </c>
      <c r="Q762"/>
      <c r="R762">
        <f>HYPERLINK("https://boards.greenhouse.io/embed/job_app?token=4669748006&amp;utm_source=jobright","https://boards.greenhouse.io/embed/job_app?token=4669748006&amp;utm_source=jobright")</f>
      </c>
    </row>
    <row r="763">
      <c r="A763" t="inlineStr">
        <is>
          <t>Avive Solutions Inc.</t>
        </is>
      </c>
      <c r="B763" t="inlineStr">
        <is>
          <t>2026-04-02 20:19:39</t>
        </is>
      </c>
      <c r="C763" t="inlineStr">
        <is>
          <t>69cf15abcdb525785fb9ea2b</t>
        </is>
      </c>
      <c r="D763" t="inlineStr">
        <is>
          <t>Senior Devops Engineer</t>
        </is>
      </c>
      <c r="E763" t="inlineStr">
        <is>
          <t>1_Discovered</t>
        </is>
      </c>
      <c r="F763" t="inlineStr">
        <is>
          <t>fanout_batch</t>
        </is>
      </c>
      <c r="G763" t="inlineStr">
        <is>
          <t>retarget</t>
        </is>
      </c>
      <c r="H763" t="inlineStr">
        <is>
          <t>seed_fireblocks_sre_anchor</t>
        </is>
      </c>
      <c r="I763" t="inlineStr">
        <is>
          <t>Fireblocks SRE Anchor</t>
        </is>
      </c>
      <c r="J763"/>
      <c r="K763"/>
      <c r="L763"/>
      <c r="M763"/>
      <c r="N763">
        <v>93.7</v>
      </c>
      <c r="O763" t="inlineStr">
        <is>
          <t>pass</t>
        </is>
      </c>
      <c r="P763">
        <f>HYPERLINK("file:///Users/jingyizhang/Documents/Playground/projects/local_job_resume_pipeline/data/deliverables/resume_portfolio/by_company/avive-solutions-inc/2026-04-02/69cf15abcdb525785fb9ea2b/resume.md","/Users/jingyizhang/Documents/Playground/projects/local_job_resume_pipeline/data/deliverables/resume_portfolio/by_company/avive-solutions-inc/2026-04-02/69cf15abcdb525785fb9ea2b/resume.md")</f>
      </c>
      <c r="Q763"/>
      <c r="R763">
        <f>HYPERLINK("https://jobs.lever.co/AviveSolutions/2523f879-87b9-4135-aa0b-99c2b0d0c2df/apply?utm_source=jobright","https://jobs.lever.co/AviveSolutions/2523f879-87b9-4135-aa0b-99c2b0d0c2df/apply?utm_source=jobright")</f>
      </c>
    </row>
    <row r="764">
      <c r="A764" t="inlineStr">
        <is>
          <t>Microsoft</t>
        </is>
      </c>
      <c r="B764" t="inlineStr">
        <is>
          <t>2026-04-02 20:19:00</t>
        </is>
      </c>
      <c r="C764" t="inlineStr">
        <is>
          <t>69cf1584cfdc6132f942f7cc</t>
        </is>
      </c>
      <c r="D764" t="inlineStr">
        <is>
          <t>Software Engineer II</t>
        </is>
      </c>
      <c r="E764" t="inlineStr">
        <is>
          <t>1_Discovered</t>
        </is>
      </c>
      <c r="F764" t="inlineStr">
        <is>
          <t>fanout_batch</t>
        </is>
      </c>
      <c r="G764" t="inlineStr">
        <is>
          <t>reuse</t>
        </is>
      </c>
      <c r="H764" t="inlineStr">
        <is>
          <t>seed_microsoft_coreai_platform_anchor</t>
        </is>
      </c>
      <c r="I764" t="inlineStr">
        <is>
          <t>Microsoft CoreAI/BIC Platform Anchor</t>
        </is>
      </c>
      <c r="J764"/>
      <c r="K764"/>
      <c r="L764"/>
      <c r="M764"/>
      <c r="N764"/>
      <c r="O764"/>
      <c r="P764"/>
      <c r="Q764"/>
      <c r="R764">
        <f>HYPERLINK("https://apply.careers.microsoft.com/careers/job/1970393556631868?utm_source=linkedin&amp;domain=microsoft.com&amp;src=LinkedIn","https://apply.careers.microsoft.com/careers/job/1970393556631868?utm_source=linkedin&amp;domain=microsoft.com&amp;src=LinkedIn")</f>
      </c>
    </row>
    <row r="765">
      <c r="A765" t="inlineStr">
        <is>
          <t>Leidos</t>
        </is>
      </c>
      <c r="B765" t="inlineStr">
        <is>
          <t>2026-04-02 20:18:54</t>
        </is>
      </c>
      <c r="C765" t="inlineStr">
        <is>
          <t>69cf157e54f00230c6d06678</t>
        </is>
      </c>
      <c r="D765" t="inlineStr">
        <is>
          <t>Software Developer  (Full Stack / Web Applications)</t>
        </is>
      </c>
      <c r="E765" t="inlineStr">
        <is>
          <t>1_Discovered</t>
        </is>
      </c>
      <c r="F765" t="inlineStr">
        <is>
          <t>fanout_batch</t>
        </is>
      </c>
      <c r="G765" t="inlineStr">
        <is>
          <t>retarget</t>
        </is>
      </c>
      <c r="H765" t="inlineStr">
        <is>
          <t>seed_generalist_dotnet_enterprise</t>
        </is>
      </c>
      <c r="I765" t="inlineStr">
        <is>
          <t>Generalist DotNet Enterprise</t>
        </is>
      </c>
      <c r="J765"/>
      <c r="K765"/>
      <c r="L765"/>
      <c r="M765"/>
      <c r="N765">
        <v>93.5</v>
      </c>
      <c r="O765" t="inlineStr">
        <is>
          <t>pass</t>
        </is>
      </c>
      <c r="P765">
        <f>HYPERLINK("file:///Users/jingyizhang/Documents/Playground/projects/local_job_resume_pipeline/data/deliverables/resume_portfolio/by_company/leidos/2026-04-02/69cf157e54f00230c6d06678/resume.md","/Users/jingyizhang/Documents/Playground/projects/local_job_resume_pipeline/data/deliverables/resume_portfolio/by_company/leidos/2026-04-02/69cf157e54f00230c6d06678/resume.md")</f>
      </c>
      <c r="Q765"/>
      <c r="R765">
        <f>HYPERLINK("https://careers.leidos.com/jobs/17501663-software-developer-full-stack-slash-web-applications?tm_job=R-00178748&amp;tm_event=view&amp;tm_company=2502&amp;bid=56","https://careers.leidos.com/jobs/17501663-software-developer-full-stack-slash-web-applications?tm_job=R-00178748&amp;tm_event=view&amp;tm_company=2502&amp;bid=56")</f>
      </c>
    </row>
    <row r="766">
      <c r="A766" t="inlineStr">
        <is>
          <t>Airtable</t>
        </is>
      </c>
      <c r="B766" t="inlineStr">
        <is>
          <t>2026-04-02 20:18:43</t>
        </is>
      </c>
      <c r="C766" t="inlineStr">
        <is>
          <t>69cf1573398fb071abf8c398</t>
        </is>
      </c>
      <c r="D766" t="inlineStr">
        <is>
          <t>Software Engineer, Product Frontend (2-8 YOE)</t>
        </is>
      </c>
      <c r="E766" t="inlineStr">
        <is>
          <t>1_Discovered</t>
        </is>
      </c>
      <c r="F766" t="inlineStr">
        <is>
          <t>seed_validation</t>
        </is>
      </c>
      <c r="G766" t="inlineStr">
        <is>
          <t>reuse</t>
        </is>
      </c>
      <c r="H766" t="inlineStr">
        <is>
          <t>atomizer_06_full-stack_web_application_engineer_resume</t>
        </is>
      </c>
      <c r="I766" t="inlineStr">
        <is>
          <t>06 Full-Stack Web Application Engineer</t>
        </is>
      </c>
      <c r="J766"/>
      <c r="K766"/>
      <c r="L766"/>
      <c r="M766"/>
      <c r="N766"/>
      <c r="O766"/>
      <c r="P766"/>
      <c r="Q766"/>
      <c r="R766">
        <f>HYPERLINK("https://boards.greenhouse.io/embed/job_app?token=8397137002&amp;utm_source=jobright","https://boards.greenhouse.io/embed/job_app?token=8397137002&amp;utm_source=jobright")</f>
      </c>
    </row>
    <row r="767">
      <c r="A767" t="inlineStr">
        <is>
          <t>Uber</t>
        </is>
      </c>
      <c r="B767" t="inlineStr">
        <is>
          <t>2026-04-02 20:14:03</t>
        </is>
      </c>
      <c r="C767" t="inlineStr">
        <is>
          <t>69cf145b366bb95ba5512994</t>
        </is>
      </c>
      <c r="D767" t="inlineStr">
        <is>
          <t>Senior Data Analyst, People Analytics</t>
        </is>
      </c>
      <c r="E767" t="inlineStr">
        <is>
          <t>1_Discovered</t>
        </is>
      </c>
      <c r="F767" t="inlineStr">
        <is>
          <t>fanout_batch</t>
        </is>
      </c>
      <c r="G767" t="inlineStr">
        <is>
          <t>reuse</t>
        </is>
      </c>
      <c r="H767" t="inlineStr">
        <is>
          <t>seed_plaid_data_scientist</t>
        </is>
      </c>
      <c r="I767" t="inlineStr">
        <is>
          <t>Plaid Data Scientist</t>
        </is>
      </c>
      <c r="J767"/>
      <c r="K767"/>
      <c r="L767"/>
      <c r="M767"/>
      <c r="N767"/>
      <c r="O767"/>
      <c r="P767"/>
      <c r="Q767"/>
      <c r="R767">
        <f>HYPERLINK("https://tnl2.jometer.com/v2/job?jz=5wqzsef06f6d88a52b97d472fd2cdb1573cc8LQALBBQAAADQ&amp;iis=Job%20Board%20-%20Recruitment%20Marketing&amp;iisn=LinkedIn","https://tnl2.jometer.com/v2/job?jz=5wqzsef06f6d88a52b97d472fd2cdb1573cc8LQALBBQAAADQ&amp;iis=Job%20Board%20-%20Recruitment%20Marketing&amp;iisn=LinkedIn")</f>
      </c>
    </row>
    <row r="768">
      <c r="A768" t="inlineStr">
        <is>
          <t>NielsenIQ</t>
        </is>
      </c>
      <c r="B768" t="inlineStr">
        <is>
          <t>2026-04-02 20:12:41</t>
        </is>
      </c>
      <c r="C768" t="inlineStr">
        <is>
          <t>69cf1409891d7b11cfccfe48</t>
        </is>
      </c>
      <c r="D768" t="inlineStr">
        <is>
          <t>Senior Data Scientist</t>
        </is>
      </c>
      <c r="E768" t="inlineStr">
        <is>
          <t>1_Discovered</t>
        </is>
      </c>
      <c r="F768" t="inlineStr">
        <is>
          <t>fanout_batch</t>
        </is>
      </c>
      <c r="G768" t="inlineStr">
        <is>
          <t>reuse</t>
        </is>
      </c>
      <c r="H768" t="inlineStr">
        <is>
          <t>seed_plaid_data_scientist</t>
        </is>
      </c>
      <c r="I768" t="inlineStr">
        <is>
          <t>Plaid Data Scientist</t>
        </is>
      </c>
      <c r="J768"/>
      <c r="K768"/>
      <c r="L768"/>
      <c r="M768"/>
      <c r="N768"/>
      <c r="O768"/>
      <c r="P768"/>
      <c r="Q768"/>
      <c r="R768">
        <f>HYPERLINK("https://jobs.smartrecruiters.com/NielsenIQ/744000118506366-senior-data-scientist","https://jobs.smartrecruiters.com/NielsenIQ/744000118506366-senior-data-scientist")</f>
      </c>
    </row>
    <row r="769">
      <c r="A769" t="inlineStr">
        <is>
          <t>TRIMEDX</t>
        </is>
      </c>
      <c r="B769" t="inlineStr">
        <is>
          <t>2026-04-02 20:07:48</t>
        </is>
      </c>
      <c r="C769" t="inlineStr">
        <is>
          <t>69cf12e4891d7b11cfccfd93</t>
        </is>
      </c>
      <c r="D769" t="inlineStr">
        <is>
          <t>Senior Platform Engineer</t>
        </is>
      </c>
      <c r="E769" t="inlineStr">
        <is>
          <t>1_Discovered</t>
        </is>
      </c>
      <c r="F769" t="inlineStr">
        <is>
          <t>seed_source</t>
        </is>
      </c>
      <c r="G769" t="inlineStr">
        <is>
          <t>seed_source</t>
        </is>
      </c>
      <c r="H769" t="inlineStr">
        <is>
          <t>seed_trimedx_platform_multicloud</t>
        </is>
      </c>
      <c r="I769" t="inlineStr">
        <is>
          <t>TRIMEDX Platform Multicloud</t>
        </is>
      </c>
      <c r="J769"/>
      <c r="K769"/>
      <c r="L769"/>
      <c r="M769"/>
      <c r="N769">
        <v>96.3</v>
      </c>
      <c r="O769" t="inlineStr">
        <is>
          <t>pass</t>
        </is>
      </c>
      <c r="P769">
        <f>HYPERLINK("file:///Users/jingyizhang/Documents/Playground/projects/local_job_resume_pipeline/data/deliverables/resume_portfolio/by_company/trimedx/2026-04-02/69cf12e4891d7b11cfccfd93/resume.md","/Users/jingyizhang/Documents/Playground/projects/local_job_resume_pipeline/data/deliverables/resume_portfolio/by_company/trimedx/2026-04-02/69cf12e4891d7b11cfccfd93/resume.md")</f>
      </c>
      <c r="Q769"/>
      <c r="R769">
        <f>HYPERLINK("https://trimedx.wd1.myworkdayjobs.com/TMX/job/Indianapolis-IN/Senior-Platform-Engineer_R13793?source=LinkedIn","https://trimedx.wd1.myworkdayjobs.com/TMX/job/Indianapolis-IN/Senior-Platform-Engineer_R13793?source=LinkedIn")</f>
      </c>
    </row>
    <row r="770">
      <c r="A770" t="inlineStr">
        <is>
          <t>TD</t>
        </is>
      </c>
      <c r="B770" t="inlineStr">
        <is>
          <t>2026-04-02 20:07:32</t>
        </is>
      </c>
      <c r="C770" t="inlineStr">
        <is>
          <t>69cf12d4cdb525785fb9e927</t>
        </is>
      </c>
      <c r="D770" t="inlineStr">
        <is>
          <t>Data Scientist -FCRM Model Risk Governance Strategy</t>
        </is>
      </c>
      <c r="E770" t="inlineStr">
        <is>
          <t>1_Discovered</t>
        </is>
      </c>
      <c r="F770" t="inlineStr">
        <is>
          <t>fanout_batch</t>
        </is>
      </c>
      <c r="G770" t="inlineStr">
        <is>
          <t>reuse</t>
        </is>
      </c>
      <c r="H770" t="inlineStr">
        <is>
          <t>seed_plaid_data_scientist</t>
        </is>
      </c>
      <c r="I770" t="inlineStr">
        <is>
          <t>Plaid Data Scientist</t>
        </is>
      </c>
      <c r="J770"/>
      <c r="K770"/>
      <c r="L770"/>
      <c r="M770"/>
      <c r="N770"/>
      <c r="O770"/>
      <c r="P770"/>
      <c r="Q770"/>
      <c r="R770">
        <f>HYPERLINK("https://td.wd3.myworkdayjobs.com/fr-CA/TD_Bank_Careers/job/New-York-New-York/Data-Scientist--FCRM-Model-Risk-Governance-Strategy_R_1480824?source=LinkedIn","https://td.wd3.myworkdayjobs.com/fr-CA/TD_Bank_Careers/job/New-York-New-York/Data-Scientist--FCRM-Model-Risk-Governance-Strategy_R_1480824?source=LinkedIn")</f>
      </c>
    </row>
    <row r="771">
      <c r="A771" t="inlineStr">
        <is>
          <t>Leidos</t>
        </is>
      </c>
      <c r="B771" t="inlineStr">
        <is>
          <t>2026-04-02 19:59:29</t>
        </is>
      </c>
      <c r="C771" t="inlineStr">
        <is>
          <t>69cf10f1398fb071abf8c27c</t>
        </is>
      </c>
      <c r="D771" t="inlineStr">
        <is>
          <t>GEOINT Innovation Data Scientist</t>
        </is>
      </c>
      <c r="E771" t="inlineStr">
        <is>
          <t>1_Discovered</t>
        </is>
      </c>
      <c r="F771" t="inlineStr">
        <is>
          <t>fanout_batch</t>
        </is>
      </c>
      <c r="G771" t="inlineStr">
        <is>
          <t>retarget</t>
        </is>
      </c>
      <c r="H771" t="inlineStr">
        <is>
          <t>seed_jpmc_data_mlops_anchor</t>
        </is>
      </c>
      <c r="I771" t="inlineStr">
        <is>
          <t>JPMorganChase Data Platform/MLOps Anchor</t>
        </is>
      </c>
      <c r="J771" t="inlineStr">
        <is>
          <t>jpmc_data_mlops_mainline</t>
        </is>
      </c>
      <c r="K771" t="inlineStr">
        <is>
          <t>mainline</t>
        </is>
      </c>
      <c r="L771"/>
      <c r="M771"/>
      <c r="N771">
        <v>82.3</v>
      </c>
      <c r="O771" t="inlineStr">
        <is>
          <t>fail</t>
        </is>
      </c>
      <c r="P771">
        <f>HYPERLINK("file:///Users/jingyizhang/Documents/Playground/projects/local_job_resume_pipeline/data/deliverables/resume_portfolio/by_company/leidos/2026-04-02/69cf10f1398fb071abf8c27c/resume.md","/Users/jingyizhang/Documents/Playground/projects/local_job_resume_pipeline/data/deliverables/resume_portfolio/by_company/leidos/2026-04-02/69cf10f1398fb071abf8c27c/resume.md")</f>
      </c>
      <c r="Q771"/>
      <c r="R771">
        <f>HYPERLINK("https://careers.leidos.com/jobs/17529126-geoint-innovation-data-scientist?tm_job=R-00179056&amp;tm_event=view&amp;tm_company=2502&amp;bid=56","https://careers.leidos.com/jobs/17529126-geoint-innovation-data-scientist?tm_job=R-00179056&amp;tm_event=view&amp;tm_company=2502&amp;bid=56")</f>
      </c>
    </row>
    <row r="772">
      <c r="A772" t="inlineStr">
        <is>
          <t>Amazon Web Services (AWS)</t>
        </is>
      </c>
      <c r="B772" t="inlineStr">
        <is>
          <t>2026-04-02 19:53:13</t>
        </is>
      </c>
      <c r="C772" t="inlineStr">
        <is>
          <t>69cf0f7954f00230c6d064d7</t>
        </is>
      </c>
      <c r="D772" t="inlineStr">
        <is>
          <t>Software Development Engineer, AWS SDE Centralized Team</t>
        </is>
      </c>
      <c r="E772" t="inlineStr">
        <is>
          <t>1_Discovered</t>
        </is>
      </c>
      <c r="F772" t="inlineStr">
        <is>
          <t>retarget_trial</t>
        </is>
      </c>
      <c r="G772" t="inlineStr">
        <is>
          <t>retarget</t>
        </is>
      </c>
      <c r="H772" t="inlineStr">
        <is>
          <t>candidate_aws_generalist_embedded</t>
        </is>
      </c>
      <c r="I772" t="inlineStr">
        <is>
          <t>AWS Generalist Embedded</t>
        </is>
      </c>
      <c r="J772"/>
      <c r="K772"/>
      <c r="L772"/>
      <c r="M772"/>
      <c r="N772">
        <v>93.6</v>
      </c>
      <c r="O772" t="inlineStr">
        <is>
          <t>pass</t>
        </is>
      </c>
      <c r="P772">
        <f>HYPERLINK("file:///Users/jingyizhang/Documents/Playground/projects/local_job_resume_pipeline/data/deliverables/resume_portfolio/by_company/amazon-web-services-aws/2026-04-02/69cf0f7954f00230c6d064d7/resume.md","/Users/jingyizhang/Documents/Playground/projects/local_job_resume_pipeline/data/deliverables/resume_portfolio/by_company/amazon-web-services-aws/2026-04-02/69cf0f7954f00230c6d064d7/resume.md")</f>
      </c>
      <c r="Q772"/>
      <c r="R772">
        <f>HYPERLINK("https://www.amazon.jobs/jobs/10382496/software-development-engineer-aws-sde-centralized-team?cmpid=SPLICX0248M&amp;utm_source=linkedin.com&amp;utm_campaign=cxro&amp;utm_medium=social_media&amp;utm_content=job_posting&amp;ss=paid","https://www.amazon.jobs/jobs/10382496/software-development-engineer-aws-sde-centralized-team?cmpid=SPLICX0248M&amp;utm_source=linkedin.com&amp;utm_campaign=cxro&amp;utm_medium=social_media&amp;utm_content=job_posting&amp;ss=paid")</f>
      </c>
    </row>
    <row r="773">
      <c r="A773" t="inlineStr">
        <is>
          <t>Effectual</t>
        </is>
      </c>
      <c r="B773" t="inlineStr">
        <is>
          <t>2026-04-02 19:53:08</t>
        </is>
      </c>
      <c r="C773" t="inlineStr">
        <is>
          <t>69cf0f74891d7b11cfccfd10</t>
        </is>
      </c>
      <c r="D773" t="inlineStr">
        <is>
          <t>Cloud Migration Engineer</t>
        </is>
      </c>
      <c r="E773" t="inlineStr">
        <is>
          <t>1_Discovered</t>
        </is>
      </c>
      <c r="F773" t="inlineStr">
        <is>
          <t>fanout_batch</t>
        </is>
      </c>
      <c r="G773" t="inlineStr">
        <is>
          <t>retarget</t>
        </is>
      </c>
      <c r="H773" t="inlineStr">
        <is>
          <t>seed_fireblocks_sre_anchor</t>
        </is>
      </c>
      <c r="I773" t="inlineStr">
        <is>
          <t>Fireblocks SRE Anchor</t>
        </is>
      </c>
      <c r="J773"/>
      <c r="K773"/>
      <c r="L773"/>
      <c r="M773"/>
      <c r="N773">
        <v>96.0</v>
      </c>
      <c r="O773" t="inlineStr">
        <is>
          <t>pass</t>
        </is>
      </c>
      <c r="P773">
        <f>HYPERLINK("file:///Users/jingyizhang/Documents/Playground/projects/local_job_resume_pipeline/data/deliverables/resume_portfolio/by_company/effectual/2026-04-02/69cf0f74891d7b11cfccfd10/resume.md","/Users/jingyizhang/Documents/Playground/projects/local_job_resume_pipeline/data/deliverables/resume_portfolio/by_company/effectual/2026-04-02/69cf0f74891d7b11cfccfd10/resume.md")</f>
      </c>
      <c r="Q773"/>
      <c r="R773">
        <f>HYPERLINK("https://boards.greenhouse.io/embed/job_app?token=7512669003&amp;utm_source=jobright","https://boards.greenhouse.io/embed/job_app?token=7512669003&amp;utm_source=jobright")</f>
      </c>
    </row>
    <row r="774">
      <c r="A774" t="inlineStr">
        <is>
          <t>DoiT</t>
        </is>
      </c>
      <c r="B774" t="inlineStr">
        <is>
          <t>2026-04-02 19:52:23</t>
        </is>
      </c>
      <c r="C774" t="inlineStr">
        <is>
          <t>69cf0f47891d7b11cfccfc1a</t>
        </is>
      </c>
      <c r="D774" t="inlineStr">
        <is>
          <t>Applied AI Engineer</t>
        </is>
      </c>
      <c r="E774" t="inlineStr">
        <is>
          <t>1_Discovered</t>
        </is>
      </c>
      <c r="F774" t="inlineStr">
        <is>
          <t>fanout_batch</t>
        </is>
      </c>
      <c r="G774" t="inlineStr">
        <is>
          <t>retarget</t>
        </is>
      </c>
      <c r="H774" t="inlineStr">
        <is>
          <t>seed_bytedance_ml_grad</t>
        </is>
      </c>
      <c r="I774" t="inlineStr">
        <is>
          <t>ByteDance ML Grad</t>
        </is>
      </c>
      <c r="J774"/>
      <c r="K774"/>
      <c r="L774"/>
      <c r="M774"/>
      <c r="N774">
        <v>95.4</v>
      </c>
      <c r="O774" t="inlineStr">
        <is>
          <t>pass</t>
        </is>
      </c>
      <c r="P774">
        <f>HYPERLINK("file:///Users/jingyizhang/Documents/Playground/projects/local_job_resume_pipeline/data/deliverables/resume_portfolio/by_company/doit/2026-04-02/69cf0f47891d7b11cfccfc1a/resume.md","/Users/jingyizhang/Documents/Playground/projects/local_job_resume_pipeline/data/deliverables/resume_portfolio/by_company/doit/2026-04-02/69cf0f47891d7b11cfccfc1a/resume.md")</f>
      </c>
      <c r="Q774"/>
      <c r="R774">
        <f>HYPERLINK("https://boards.greenhouse.io/embed/job_app?token=7688239003&amp;utm_source=jobright","https://boards.greenhouse.io/embed/job_app?token=7688239003&amp;utm_source=jobright")</f>
      </c>
    </row>
    <row r="775">
      <c r="A775" t="inlineStr">
        <is>
          <t>Microsoft</t>
        </is>
      </c>
      <c r="B775" t="inlineStr">
        <is>
          <t>2026-04-02 19:52:20</t>
        </is>
      </c>
      <c r="C775" t="inlineStr">
        <is>
          <t>69cf0f44cfdc6132f942f087</t>
        </is>
      </c>
      <c r="D775" t="inlineStr">
        <is>
          <t>Software Engineering IC4</t>
        </is>
      </c>
      <c r="E775" t="inlineStr">
        <is>
          <t>1_Discovered</t>
        </is>
      </c>
      <c r="F775" t="inlineStr">
        <is>
          <t>fanout_batch</t>
        </is>
      </c>
      <c r="G775" t="inlineStr">
        <is>
          <t>reuse</t>
        </is>
      </c>
      <c r="H775" t="inlineStr">
        <is>
          <t>seed_microsoft_coreai_platform_anchor</t>
        </is>
      </c>
      <c r="I775" t="inlineStr">
        <is>
          <t>Microsoft CoreAI/BIC Platform Anchor</t>
        </is>
      </c>
      <c r="J775"/>
      <c r="K775"/>
      <c r="L775"/>
      <c r="M775"/>
      <c r="N775"/>
      <c r="O775"/>
      <c r="P775"/>
      <c r="Q775"/>
      <c r="R775">
        <f>HYPERLINK("https://apply.careers.microsoft.com/careers/job/1970393556852768/","https://apply.careers.microsoft.com/careers/job/1970393556852768/")</f>
      </c>
    </row>
    <row r="776">
      <c r="A776" t="inlineStr">
        <is>
          <t>JPMorganChase</t>
        </is>
      </c>
      <c r="B776" t="inlineStr">
        <is>
          <t>2026-04-02 19:49:20</t>
        </is>
      </c>
      <c r="C776" t="inlineStr">
        <is>
          <t>69cf0e90cdb525785fb9e330</t>
        </is>
      </c>
      <c r="D776" t="inlineStr">
        <is>
          <t>Data Software Engineer II</t>
        </is>
      </c>
      <c r="E776" t="inlineStr">
        <is>
          <t>1_Discovered</t>
        </is>
      </c>
      <c r="F776" t="inlineStr">
        <is>
          <t>fanout_batch</t>
        </is>
      </c>
      <c r="G776" t="inlineStr">
        <is>
          <t>reuse</t>
        </is>
      </c>
      <c r="H776" t="inlineStr">
        <is>
          <t>seed_jpmc_data_mlops_anchor</t>
        </is>
      </c>
      <c r="I776" t="inlineStr">
        <is>
          <t>JPMorganChase Data Platform/MLOps Anchor</t>
        </is>
      </c>
      <c r="J776" t="inlineStr">
        <is>
          <t>jpmc_data_mlops_mainline</t>
        </is>
      </c>
      <c r="K776" t="inlineStr">
        <is>
          <t>mainline</t>
        </is>
      </c>
      <c r="L776"/>
      <c r="M776"/>
      <c r="N776"/>
      <c r="O776"/>
      <c r="P776"/>
      <c r="Q776"/>
      <c r="R776">
        <f>HYPERLINK("https://jpmc.fa.oraclecloud.com/hcmUI/CandidateExperience/en/sites/CX_1001/job/210704597","https://jpmc.fa.oraclecloud.com/hcmUI/CandidateExperience/en/sites/CX_1001/job/210704597")</f>
      </c>
    </row>
    <row r="777">
      <c r="A777" t="inlineStr">
        <is>
          <t>Typeface</t>
        </is>
      </c>
      <c r="B777" t="inlineStr">
        <is>
          <t>2026-04-02 19:34:49</t>
        </is>
      </c>
      <c r="C777" t="inlineStr">
        <is>
          <t>69702ce8333b6343a14c9556</t>
        </is>
      </c>
      <c r="D777" t="inlineStr">
        <is>
          <t>Senior Web Engineer</t>
        </is>
      </c>
      <c r="E777" t="inlineStr">
        <is>
          <t>1_Discovered</t>
        </is>
      </c>
      <c r="F777" t="inlineStr">
        <is>
          <t>seed_validation</t>
        </is>
      </c>
      <c r="G777" t="inlineStr">
        <is>
          <t>reuse</t>
        </is>
      </c>
      <c r="H777" t="inlineStr">
        <is>
          <t>seed_frontend_web_perf</t>
        </is>
      </c>
      <c r="I777" t="inlineStr">
        <is>
          <t>Frontend Web Performance</t>
        </is>
      </c>
      <c r="J777"/>
      <c r="K777"/>
      <c r="L777"/>
      <c r="M777"/>
      <c r="N777"/>
      <c r="O777"/>
      <c r="P777"/>
      <c r="Q777"/>
      <c r="R777">
        <f>HYPERLINK("https://boards.greenhouse.io/embed/job_app?token=5029502007&amp;utm_source=jobright","https://boards.greenhouse.io/embed/job_app?token=5029502007&amp;utm_source=jobright")</f>
      </c>
    </row>
    <row r="778">
      <c r="A778" t="inlineStr">
        <is>
          <t>Pacific Life</t>
        </is>
      </c>
      <c r="B778" t="inlineStr">
        <is>
          <t>2026-04-02 19:28:16</t>
        </is>
      </c>
      <c r="C778" t="inlineStr">
        <is>
          <t>69cf09a0cfdc6132f942ef9a</t>
        </is>
      </c>
      <c r="D778" t="inlineStr">
        <is>
          <t>Full Stack Engineer II</t>
        </is>
      </c>
      <c r="E778" t="inlineStr">
        <is>
          <t>1_Discovered</t>
        </is>
      </c>
      <c r="F778" t="inlineStr">
        <is>
          <t>fanout_batch</t>
        </is>
      </c>
      <c r="G778" t="inlineStr">
        <is>
          <t>retarget</t>
        </is>
      </c>
      <c r="H778" t="inlineStr">
        <is>
          <t>seed_generalist_dotnet_enterprise</t>
        </is>
      </c>
      <c r="I778" t="inlineStr">
        <is>
          <t>Generalist DotNet Enterprise</t>
        </is>
      </c>
      <c r="J778"/>
      <c r="K778"/>
      <c r="L778"/>
      <c r="M778"/>
      <c r="N778">
        <v>93.4</v>
      </c>
      <c r="O778" t="inlineStr">
        <is>
          <t>pass</t>
        </is>
      </c>
      <c r="P778">
        <f>HYPERLINK("file:///Users/jingyizhang/Documents/Playground/projects/local_job_resume_pipeline/data/deliverables/resume_portfolio/by_company/pacific-life/2026-04-02/69cf09a0cfdc6132f942ef9a/resume.md","/Users/jingyizhang/Documents/Playground/projects/local_job_resume_pipeline/data/deliverables/resume_portfolio/by_company/pacific-life/2026-04-02/69cf09a0cfdc6132f942ef9a/resume.md")</f>
      </c>
      <c r="Q778"/>
      <c r="R778">
        <f>HYPERLINK("https://pacificlife.wd1.myworkdayjobs.com/PacificLifeCareers/job/Newport-Beach-CA-700/Full-Stack-Engineer-II_R16717?source=APPLICANT_SOURCE-3-21","https://pacificlife.wd1.myworkdayjobs.com/PacificLifeCareers/job/Newport-Beach-CA-700/Full-Stack-Engineer-II_R16717?source=APPLICANT_SOURCE-3-21")</f>
      </c>
    </row>
    <row r="779">
      <c r="A779" t="inlineStr">
        <is>
          <t>Capstone Logistics, LLC</t>
        </is>
      </c>
      <c r="B779" t="inlineStr">
        <is>
          <t>2026-04-02 19:16:47</t>
        </is>
      </c>
      <c r="C779" t="inlineStr">
        <is>
          <t>69cf06ef891d7b11cfccf5e6</t>
        </is>
      </c>
      <c r="D779" t="inlineStr">
        <is>
          <t>Sr. Data Engineer</t>
        </is>
      </c>
      <c r="E779" t="inlineStr">
        <is>
          <t>1_Discovered</t>
        </is>
      </c>
      <c r="F779" t="inlineStr">
        <is>
          <t>fanout_batch</t>
        </is>
      </c>
      <c r="G779" t="inlineStr">
        <is>
          <t>reuse</t>
        </is>
      </c>
      <c r="H779" t="inlineStr">
        <is>
          <t>seed_qualified_health_data_engineer</t>
        </is>
      </c>
      <c r="I779" t="inlineStr">
        <is>
          <t>Qualified Health Data Engineer</t>
        </is>
      </c>
      <c r="J779"/>
      <c r="K779"/>
      <c r="L779"/>
      <c r="M779"/>
      <c r="N779"/>
      <c r="O779"/>
      <c r="P779"/>
      <c r="Q779"/>
      <c r="R779">
        <f>HYPERLINK("https://www.indeed.com/viewjob?jk=488efb485a279681","https://www.indeed.com/viewjob?jk=488efb485a279681")</f>
      </c>
    </row>
    <row r="780">
      <c r="A780" t="inlineStr">
        <is>
          <t>Barracuda</t>
        </is>
      </c>
      <c r="B780" t="inlineStr">
        <is>
          <t>2026-04-02 19:15:06</t>
        </is>
      </c>
      <c r="C780" t="inlineStr">
        <is>
          <t>69cf068acfdc6132f942eed3</t>
        </is>
      </c>
      <c r="D780" t="inlineStr">
        <is>
          <t>Manager, Offensive Security</t>
        </is>
      </c>
      <c r="E780" t="inlineStr">
        <is>
          <t>1_Discovered</t>
        </is>
      </c>
      <c r="F780" t="inlineStr">
        <is>
          <t>fanout_batch</t>
        </is>
      </c>
      <c r="G780" t="inlineStr">
        <is>
          <t>retarget</t>
        </is>
      </c>
      <c r="H780" t="inlineStr">
        <is>
          <t>seed_fireblocks_sre_anchor</t>
        </is>
      </c>
      <c r="I780" t="inlineStr">
        <is>
          <t>Fireblocks SRE Anchor</t>
        </is>
      </c>
      <c r="J780"/>
      <c r="K780"/>
      <c r="L780"/>
      <c r="M780"/>
      <c r="N780">
        <v>93.2</v>
      </c>
      <c r="O780" t="inlineStr">
        <is>
          <t>pass</t>
        </is>
      </c>
      <c r="P780">
        <f>HYPERLINK("file:///Users/jingyizhang/Documents/Playground/projects/local_job_resume_pipeline/data/deliverables/resume_portfolio/by_company/barracuda/2026-04-02/69cf068acfdc6132f942eed3/resume.md","/Users/jingyizhang/Documents/Playground/projects/local_job_resume_pipeline/data/deliverables/resume_portfolio/by_company/barracuda/2026-04-02/69cf068acfdc6132f942eed3/resume.md")</f>
      </c>
      <c r="Q780"/>
      <c r="R780">
        <f>HYPERLINK("http://app.jobvite.com/CompanyJobs/Careers.aspx?c=qTN9Vfwu&amp;j=omuSzfw1&amp;k=Apply&amp;__jvst=Job+Board&amp;__jvsd=LinkedIn","http://app.jobvite.com/CompanyJobs/Careers.aspx?c=qTN9Vfwu&amp;j=omuSzfw1&amp;k=Apply&amp;__jvst=Job+Board&amp;__jvsd=LinkedIn")</f>
      </c>
    </row>
    <row r="781">
      <c r="A781" t="inlineStr">
        <is>
          <t>The Walt Disney Company</t>
        </is>
      </c>
      <c r="B781" t="inlineStr">
        <is>
          <t>2026-04-02 19:08:12</t>
        </is>
      </c>
      <c r="C781" t="inlineStr">
        <is>
          <t>69cf04ec891d7b11cfccf4fb</t>
        </is>
      </c>
      <c r="D781" t="inlineStr">
        <is>
          <t>Software Engineer II</t>
        </is>
      </c>
      <c r="E781" t="inlineStr">
        <is>
          <t>1_Discovered</t>
        </is>
      </c>
      <c r="F781" t="inlineStr">
        <is>
          <t>fanout_batch</t>
        </is>
      </c>
      <c r="G781" t="inlineStr">
        <is>
          <t>retarget</t>
        </is>
      </c>
      <c r="H781" t="inlineStr">
        <is>
          <t>seed_qualified_health_data_engineer</t>
        </is>
      </c>
      <c r="I781" t="inlineStr">
        <is>
          <t>Qualified Health Data Engineer</t>
        </is>
      </c>
      <c r="J781"/>
      <c r="K781"/>
      <c r="L781"/>
      <c r="M781"/>
      <c r="N781">
        <v>91.6</v>
      </c>
      <c r="O781" t="inlineStr">
        <is>
          <t>conditional_pass</t>
        </is>
      </c>
      <c r="P781">
        <f>HYPERLINK("file:///Users/jingyizhang/Documents/Playground/projects/local_job_resume_pipeline/data/deliverables/resume_portfolio/by_company/the-walt-disney-company/2026-04-02/69cf04ec891d7b11cfccf4fb/resume.md","/Users/jingyizhang/Documents/Playground/projects/local_job_resume_pipeline/data/deliverables/resume_portfolio/by_company/the-walt-disney-company/2026-04-02/69cf04ec891d7b11cfccf4fb/resume.md")</f>
      </c>
      <c r="Q781"/>
      <c r="R781">
        <f>HYPERLINK("https://www.disneycareers.com/job/-/-/391/91129475376?source=LINKEDIN_JOB_SLOTS","https://www.disneycareers.com/job/-/-/391/91129475376?source=LINKEDIN_JOB_SLOTS")</f>
      </c>
    </row>
    <row r="782">
      <c r="A782" t="inlineStr">
        <is>
          <t>Proper Hospitality</t>
        </is>
      </c>
      <c r="B782" t="inlineStr">
        <is>
          <t>2026-04-02 19:05:22</t>
        </is>
      </c>
      <c r="C782" t="inlineStr">
        <is>
          <t>69cf0442366bb95ba5511ff9</t>
        </is>
      </c>
      <c r="D782" t="inlineStr">
        <is>
          <t>Founding Full Stack Engineer - AI Focused</t>
        </is>
      </c>
      <c r="E782" t="inlineStr">
        <is>
          <t>1_Discovered</t>
        </is>
      </c>
      <c r="F782" t="inlineStr">
        <is>
          <t>seed_validation</t>
        </is>
      </c>
      <c r="G782" t="inlineStr">
        <is>
          <t>reuse</t>
        </is>
      </c>
      <c r="H782" t="inlineStr">
        <is>
          <t>seed_fullstack_dotnet_azure</t>
        </is>
      </c>
      <c r="I782" t="inlineStr">
        <is>
          <t>Fullstack DotNet Azure</t>
        </is>
      </c>
      <c r="J782"/>
      <c r="K782"/>
      <c r="L782"/>
      <c r="M782"/>
      <c r="N782"/>
      <c r="O782"/>
      <c r="P782"/>
      <c r="Q782"/>
      <c r="R782">
        <f>HYPERLINK("https://www.linkedin.com/jobs/view/4395730895","https://www.linkedin.com/jobs/view/4395730895")</f>
      </c>
    </row>
    <row r="783">
      <c r="A783" t="inlineStr">
        <is>
          <t>WHSmith North America</t>
        </is>
      </c>
      <c r="B783" t="inlineStr">
        <is>
          <t>2026-04-02 19:03:50</t>
        </is>
      </c>
      <c r="C783" t="inlineStr">
        <is>
          <t>69cf03e654f00230c6d05ca5</t>
        </is>
      </c>
      <c r="D783" t="inlineStr">
        <is>
          <t>SQL Reporting Analyst</t>
        </is>
      </c>
      <c r="E783" t="inlineStr">
        <is>
          <t>1_Discovered</t>
        </is>
      </c>
      <c r="F783" t="inlineStr">
        <is>
          <t>fanout_batch</t>
        </is>
      </c>
      <c r="G783" t="inlineStr">
        <is>
          <t>retarget</t>
        </is>
      </c>
      <c r="H783" t="inlineStr">
        <is>
          <t>seed_bytedance_ml_grad</t>
        </is>
      </c>
      <c r="I783" t="inlineStr">
        <is>
          <t>ByteDance ML Grad</t>
        </is>
      </c>
      <c r="J783"/>
      <c r="K783"/>
      <c r="L783"/>
      <c r="M783"/>
      <c r="N783">
        <v>95.9</v>
      </c>
      <c r="O783" t="inlineStr">
        <is>
          <t>pass</t>
        </is>
      </c>
      <c r="P783">
        <f>HYPERLINK("file:///Users/jingyizhang/Documents/Playground/projects/local_job_resume_pipeline/data/deliverables/resume_portfolio/by_company/whsmith-north-america/2026-04-02/69cf03e654f00230c6d05ca5/resume.md","/Users/jingyizhang/Documents/Playground/projects/local_job_resume_pipeline/data/deliverables/resume_portfolio/by_company/whsmith-north-america/2026-04-02/69cf03e654f00230c6d05ca5/resume.md")</f>
      </c>
      <c r="Q783"/>
      <c r="R783">
        <f>HYPERLINK("https://whsmithna.mua.hrdepartment.com/hr/ats/Posting/view/1788","https://whsmithna.mua.hrdepartment.com/hr/ats/Posting/view/1788")</f>
      </c>
    </row>
    <row r="784">
      <c r="A784" t="inlineStr">
        <is>
          <t>Marquette University</t>
        </is>
      </c>
      <c r="B784" t="inlineStr">
        <is>
          <t>2026-04-02 19:03:31</t>
        </is>
      </c>
      <c r="C784" t="inlineStr">
        <is>
          <t>69cf03d3cfdc6132f942ee22</t>
        </is>
      </c>
      <c r="D784" t="inlineStr">
        <is>
          <t>Application Developer, Dental Informatics</t>
        </is>
      </c>
      <c r="E784" t="inlineStr">
        <is>
          <t>1_Discovered</t>
        </is>
      </c>
      <c r="F784" t="inlineStr">
        <is>
          <t>fanout_batch</t>
        </is>
      </c>
      <c r="G784" t="inlineStr">
        <is>
          <t>retarget</t>
        </is>
      </c>
      <c r="H784" t="inlineStr">
        <is>
          <t>seed_generalist_dotnet_enterprise</t>
        </is>
      </c>
      <c r="I784" t="inlineStr">
        <is>
          <t>Generalist DotNet Enterprise</t>
        </is>
      </c>
      <c r="J784"/>
      <c r="K784"/>
      <c r="L784"/>
      <c r="M784"/>
      <c r="N784">
        <v>86.7</v>
      </c>
      <c r="O784" t="inlineStr">
        <is>
          <t>fail</t>
        </is>
      </c>
      <c r="P784">
        <f>HYPERLINK("file:///Users/jingyizhang/Documents/Playground/projects/local_job_resume_pipeline/data/deliverables/resume_portfolio/by_company/marquette-university/2026-04-02/69cf03d3cfdc6132f942ee22/resume.md","/Users/jingyizhang/Documents/Playground/projects/local_job_resume_pipeline/data/deliverables/resume_portfolio/by_company/marquette-university/2026-04-02/69cf03d3cfdc6132f942ee22/resume.md")</f>
      </c>
      <c r="Q784"/>
      <c r="R784">
        <f>HYPERLINK("https://employment.marquette.edu/postings/24651","https://employment.marquette.edu/postings/24651")</f>
      </c>
    </row>
    <row r="785">
      <c r="A785" t="inlineStr">
        <is>
          <t>TetraMem - Accelerate The World</t>
        </is>
      </c>
      <c r="B785" t="inlineStr">
        <is>
          <t>2026-04-02 19:01:14</t>
        </is>
      </c>
      <c r="C785" t="inlineStr">
        <is>
          <t>69cf034a398fb071abf8b9d5</t>
        </is>
      </c>
      <c r="D785" t="inlineStr">
        <is>
          <t>ML Model Development Engineer (MMDE-2601)</t>
        </is>
      </c>
      <c r="E785" t="inlineStr">
        <is>
          <t>1_Discovered</t>
        </is>
      </c>
      <c r="F785" t="inlineStr">
        <is>
          <t>fanout_batch</t>
        </is>
      </c>
      <c r="G785" t="inlineStr">
        <is>
          <t>retarget</t>
        </is>
      </c>
      <c r="H785" t="inlineStr">
        <is>
          <t>seed_amazon_agi_ml_anchor</t>
        </is>
      </c>
      <c r="I785" t="inlineStr">
        <is>
          <t>Amazon AGI/LLM Anchor</t>
        </is>
      </c>
      <c r="J785" t="inlineStr">
        <is>
          <t>amazon_ai_ads_mainline</t>
        </is>
      </c>
      <c r="K785" t="inlineStr">
        <is>
          <t>mainline</t>
        </is>
      </c>
      <c r="L785"/>
      <c r="M785"/>
      <c r="N785">
        <v>93.8</v>
      </c>
      <c r="O785" t="inlineStr">
        <is>
          <t>pass</t>
        </is>
      </c>
      <c r="P785">
        <f>HYPERLINK("file:///Users/jingyizhang/Documents/Playground/projects/local_job_resume_pipeline/data/deliverables/resume_portfolio/by_company/tetramem-accelerate-the-world/2026-04-02/69cf034a398fb071abf8b9d5/resume.md","/Users/jingyizhang/Documents/Playground/projects/local_job_resume_pipeline/data/deliverables/resume_portfolio/by_company/tetramem-accelerate-the-world/2026-04-02/69cf034a398fb071abf8b9d5/resume.md")</f>
      </c>
      <c r="Q785"/>
      <c r="R785">
        <f>HYPERLINK("https://tetramem.clearcompany.com/careers/jobs/ac531359-450c-0293-70bb-2c74a058d371/apply?source=3681205-JB-1018","https://tetramem.clearcompany.com/careers/jobs/ac531359-450c-0293-70bb-2c74a058d371/apply?source=3681205-JB-1018")</f>
      </c>
    </row>
    <row r="786">
      <c r="A786" t="inlineStr">
        <is>
          <t>Insulet Corporation</t>
        </is>
      </c>
      <c r="B786" t="inlineStr">
        <is>
          <t>2026-04-02 19:01:12</t>
        </is>
      </c>
      <c r="C786" t="inlineStr">
        <is>
          <t>69cf0348cdb525785fb9e08c</t>
        </is>
      </c>
      <c r="D786" t="inlineStr">
        <is>
          <t>Senior Automation Software Test Engineer</t>
        </is>
      </c>
      <c r="E786" t="inlineStr">
        <is>
          <t>1_Discovered</t>
        </is>
      </c>
      <c r="F786" t="inlineStr">
        <is>
          <t>fanout_batch</t>
        </is>
      </c>
      <c r="G786" t="inlineStr">
        <is>
          <t>reuse</t>
        </is>
      </c>
      <c r="H786" t="inlineStr">
        <is>
          <t>seed_magnite_sdet</t>
        </is>
      </c>
      <c r="I786" t="inlineStr">
        <is>
          <t>Magnite SDET</t>
        </is>
      </c>
      <c r="J786"/>
      <c r="K786"/>
      <c r="L786"/>
      <c r="M786"/>
      <c r="N786"/>
      <c r="O786"/>
      <c r="P786"/>
      <c r="Q786"/>
      <c r="R786">
        <f>HYPERLINK("https://insulet.wd5.myworkdayjobs.com/insuletcareers/job/San-Diego-California/Senior-Automation-Software-Test-Engineer_REQ-2026-15926?apply%3Fsource=LinkedIn","https://insulet.wd5.myworkdayjobs.com/insuletcareers/job/San-Diego-California/Senior-Automation-Software-Test-Engineer_REQ-2026-15926?apply%3Fsource=LinkedIn")</f>
      </c>
    </row>
    <row r="787">
      <c r="A787" t="inlineStr">
        <is>
          <t>Fusable</t>
        </is>
      </c>
      <c r="B787" t="inlineStr">
        <is>
          <t>2026-04-02 18:45:42</t>
        </is>
      </c>
      <c r="C787" t="inlineStr">
        <is>
          <t>69ceffa654f00230c6d05b4b</t>
        </is>
      </c>
      <c r="D787" t="inlineStr">
        <is>
          <t>Data Associate</t>
        </is>
      </c>
      <c r="E787" t="inlineStr">
        <is>
          <t>1_Discovered</t>
        </is>
      </c>
      <c r="F787" t="inlineStr">
        <is>
          <t>fanout_batch</t>
        </is>
      </c>
      <c r="G787" t="inlineStr">
        <is>
          <t>reuse</t>
        </is>
      </c>
      <c r="H787" t="inlineStr">
        <is>
          <t>seed_plaid_data_scientist</t>
        </is>
      </c>
      <c r="I787" t="inlineStr">
        <is>
          <t>Plaid Data Scientist</t>
        </is>
      </c>
      <c r="J787"/>
      <c r="K787"/>
      <c r="L787"/>
      <c r="M787"/>
      <c r="N787"/>
      <c r="O787"/>
      <c r="P787"/>
      <c r="Q787"/>
      <c r="R787">
        <f>HYPERLINK("https://recruiting.ultipro.com/RAN1004/JobBoard/c4a6f199-4067-786a-1f9d-9fa3d8111d01/OpportunityDetail?opportunityId=067f71f5-359e-4d62-9a0d-fe475e26aec8&amp;src=jobright","https://recruiting.ultipro.com/RAN1004/JobBoard/c4a6f199-4067-786a-1f9d-9fa3d8111d01/OpportunityDetail?opportunityId=067f71f5-359e-4d62-9a0d-fe475e26aec8&amp;src=jobright")</f>
      </c>
    </row>
    <row r="788">
      <c r="A788" t="inlineStr">
        <is>
          <t>Amazon Web Services (AWS)</t>
        </is>
      </c>
      <c r="B788" t="inlineStr">
        <is>
          <t>2026-04-02 18:25:32</t>
        </is>
      </c>
      <c r="C788" t="inlineStr">
        <is>
          <t>69cefaec891d7b11cfccefe6</t>
        </is>
      </c>
      <c r="D788" t="inlineStr">
        <is>
          <t>Software Engineer, Electric Utility Grid, Hadron</t>
        </is>
      </c>
      <c r="E788" t="inlineStr">
        <is>
          <t>1_Discovered</t>
        </is>
      </c>
      <c r="F788" t="inlineStr">
        <is>
          <t>fanout_batch</t>
        </is>
      </c>
      <c r="G788" t="inlineStr">
        <is>
          <t>retarget</t>
        </is>
      </c>
      <c r="H788" t="inlineStr">
        <is>
          <t>seed_aws_support_backend_anchor</t>
        </is>
      </c>
      <c r="I788" t="inlineStr">
        <is>
          <t>AWS Support Backend Anchor</t>
        </is>
      </c>
      <c r="J788"/>
      <c r="K788"/>
      <c r="L788"/>
      <c r="M788"/>
      <c r="N788">
        <v>93.9</v>
      </c>
      <c r="O788" t="inlineStr">
        <is>
          <t>pass</t>
        </is>
      </c>
      <c r="P788">
        <f>HYPERLINK("file:///Users/jingyizhang/Documents/Playground/projects/local_job_resume_pipeline/data/deliverables/resume_portfolio/by_company/amazon-web-services-aws/2026-04-02/69cefaec891d7b11cfccefe6/resume.md","/Users/jingyizhang/Documents/Playground/projects/local_job_resume_pipeline/data/deliverables/resume_portfolio/by_company/amazon-web-services-aws/2026-04-02/69cefaec891d7b11cfccefe6/resume.md")</f>
      </c>
      <c r="Q788"/>
      <c r="R788">
        <f>HYPERLINK("https://www.amazon.jobs/jobs/10382656/software-engineer-electric-utility-grid-hadron?cmpid=SPLICX0248M&amp;utm_source=linkedin.com&amp;utm_campaign=cxro&amp;utm_medium=social_media&amp;utm_content=job_posting&amp;ss=paid","https://www.amazon.jobs/jobs/10382656/software-engineer-electric-utility-grid-hadron?cmpid=SPLICX0248M&amp;utm_source=linkedin.com&amp;utm_campaign=cxro&amp;utm_medium=social_media&amp;utm_content=job_posting&amp;ss=paid")</f>
      </c>
    </row>
    <row r="789">
      <c r="A789" t="inlineStr">
        <is>
          <t>Kforce Inc</t>
        </is>
      </c>
      <c r="B789" t="inlineStr">
        <is>
          <t>2026-04-02 18:24:23</t>
        </is>
      </c>
      <c r="C789" t="inlineStr">
        <is>
          <t>69cefaa7cdb525785fb9dbb0</t>
        </is>
      </c>
      <c r="D789" t="inlineStr">
        <is>
          <t>Mid and Senior Data Scientists</t>
        </is>
      </c>
      <c r="E789" t="inlineStr">
        <is>
          <t>1_Discovered</t>
        </is>
      </c>
      <c r="F789" t="inlineStr">
        <is>
          <t>fanout_batch</t>
        </is>
      </c>
      <c r="G789" t="inlineStr">
        <is>
          <t>retarget</t>
        </is>
      </c>
      <c r="H789" t="inlineStr">
        <is>
          <t>seed_plaid_data_scientist</t>
        </is>
      </c>
      <c r="I789" t="inlineStr">
        <is>
          <t>Plaid Data Scientist</t>
        </is>
      </c>
      <c r="J789"/>
      <c r="K789"/>
      <c r="L789"/>
      <c r="M789"/>
      <c r="N789">
        <v>95.2</v>
      </c>
      <c r="O789" t="inlineStr">
        <is>
          <t>pass</t>
        </is>
      </c>
      <c r="P789">
        <f>HYPERLINK("file:///Users/jingyizhang/Documents/Playground/projects/local_job_resume_pipeline/data/deliverables/resume_portfolio/by_company/kforce-inc/2026-04-02/69cefaa7cdb525785fb9dbb0/resume.md","/Users/jingyizhang/Documents/Playground/projects/local_job_resume_pipeline/data/deliverables/resume_portfolio/by_company/kforce-inc/2026-04-02/69cefaa7cdb525785fb9dbb0/resume.md")</f>
      </c>
      <c r="Q789"/>
      <c r="R789">
        <f>HYPERLINK("https://www.linkedin.com/jobs/view/4395717904","https://www.linkedin.com/jobs/view/4395717904")</f>
      </c>
    </row>
    <row r="790">
      <c r="A790" t="inlineStr">
        <is>
          <t>FundView</t>
        </is>
      </c>
      <c r="B790" t="inlineStr">
        <is>
          <t>2026-04-02 18:24:11</t>
        </is>
      </c>
      <c r="C790" t="inlineStr">
        <is>
          <t>69cefa9bcdb525785fb9db59</t>
        </is>
      </c>
      <c r="D790" t="inlineStr">
        <is>
          <t>Software Developer (Entry Level)</t>
        </is>
      </c>
      <c r="E790" t="inlineStr">
        <is>
          <t>1_Discovered</t>
        </is>
      </c>
      <c r="F790" t="inlineStr">
        <is>
          <t>fanout_batch</t>
        </is>
      </c>
      <c r="G790" t="inlineStr">
        <is>
          <t>retarget</t>
        </is>
      </c>
      <c r="H790" t="inlineStr">
        <is>
          <t>seed_generalist_dotnet_enterprise</t>
        </is>
      </c>
      <c r="I790" t="inlineStr">
        <is>
          <t>Generalist DotNet Enterprise</t>
        </is>
      </c>
      <c r="J790"/>
      <c r="K790"/>
      <c r="L790"/>
      <c r="M790"/>
      <c r="N790">
        <v>93.1</v>
      </c>
      <c r="O790" t="inlineStr">
        <is>
          <t>pass</t>
        </is>
      </c>
      <c r="P790">
        <f>HYPERLINK("file:///Users/jingyizhang/Documents/Playground/projects/local_job_resume_pipeline/data/deliverables/resume_portfolio/by_company/fundview/2026-04-02/69cefa9bcdb525785fb9db59/resume.md","/Users/jingyizhang/Documents/Playground/projects/local_job_resume_pipeline/data/deliverables/resume_portfolio/by_company/fundview/2026-04-02/69cefa9bcdb525785fb9db59/resume.md")</f>
      </c>
      <c r="Q790"/>
      <c r="R790">
        <f>HYPERLINK("https://fundview.breezy.hr/p/9bca92af66f3-software-developer-entry-leve","https://fundview.breezy.hr/p/9bca92af66f3-software-developer-entry-leve")</f>
      </c>
    </row>
    <row r="791">
      <c r="A791" t="inlineStr">
        <is>
          <t>The Walt Disney Company</t>
        </is>
      </c>
      <c r="B791" t="inlineStr">
        <is>
          <t>2026-04-02 18:23:41</t>
        </is>
      </c>
      <c r="C791" t="inlineStr">
        <is>
          <t>69cefa7dcfdc6132f942e897</t>
        </is>
      </c>
      <c r="D791" t="inlineStr">
        <is>
          <t>Sr Data Analyst</t>
        </is>
      </c>
      <c r="E791" t="inlineStr">
        <is>
          <t>1_Discovered</t>
        </is>
      </c>
      <c r="F791" t="inlineStr">
        <is>
          <t>fanout_batch</t>
        </is>
      </c>
      <c r="G791" t="inlineStr">
        <is>
          <t>reuse</t>
        </is>
      </c>
      <c r="H791" t="inlineStr">
        <is>
          <t>seed_plaid_data_scientist</t>
        </is>
      </c>
      <c r="I791" t="inlineStr">
        <is>
          <t>Plaid Data Scientist</t>
        </is>
      </c>
      <c r="J791"/>
      <c r="K791"/>
      <c r="L791"/>
      <c r="M791"/>
      <c r="N791"/>
      <c r="O791"/>
      <c r="P791"/>
      <c r="Q791"/>
      <c r="R791">
        <f>HYPERLINK("https://disney.wd5.myworkdayjobs.com/disneycareer/job/New-York-NY-USA/Sr-Data-Analyst_10146985","https://disney.wd5.myworkdayjobs.com/disneycareer/job/New-York-NY-USA/Sr-Data-Analyst_10146985")</f>
      </c>
    </row>
    <row r="792">
      <c r="A792" t="inlineStr">
        <is>
          <t>Treeswift</t>
        </is>
      </c>
      <c r="B792" t="inlineStr">
        <is>
          <t>2026-04-02 18:23:39</t>
        </is>
      </c>
      <c r="C792" t="inlineStr">
        <is>
          <t>69ab07427e1fab39d38295a5</t>
        </is>
      </c>
      <c r="D792" t="inlineStr">
        <is>
          <t>Data Platform Engineer</t>
        </is>
      </c>
      <c r="E792" t="inlineStr">
        <is>
          <t>1_Discovered</t>
        </is>
      </c>
      <c r="F792" t="inlineStr">
        <is>
          <t>fanout_batch</t>
        </is>
      </c>
      <c r="G792" t="inlineStr">
        <is>
          <t>reuse</t>
        </is>
      </c>
      <c r="H792" t="inlineStr">
        <is>
          <t>seed_jpmc_data_mlops_anchor</t>
        </is>
      </c>
      <c r="I792" t="inlineStr">
        <is>
          <t>JPMorganChase Data Platform/MLOps Anchor</t>
        </is>
      </c>
      <c r="J792" t="inlineStr">
        <is>
          <t>jpmc_data_mlops_mainline</t>
        </is>
      </c>
      <c r="K792" t="inlineStr">
        <is>
          <t>mainline</t>
        </is>
      </c>
      <c r="L792"/>
      <c r="M792"/>
      <c r="N792"/>
      <c r="O792"/>
      <c r="P792"/>
      <c r="Q792"/>
      <c r="R792">
        <f>HYPERLINK("https://jobs.ashbyhq.com/treeswift/12f0df75-2829-462e-a458-d6a156524f85?src=LinkedIn+Limited+Listings","https://jobs.ashbyhq.com/treeswift/12f0df75-2829-462e-a458-d6a156524f85?src=LinkedIn+Limited+Listings")</f>
      </c>
    </row>
    <row r="793">
      <c r="A793" t="inlineStr">
        <is>
          <t>GEICO</t>
        </is>
      </c>
      <c r="B793" t="inlineStr">
        <is>
          <t>2026-04-02 18:23:32</t>
        </is>
      </c>
      <c r="C793" t="inlineStr">
        <is>
          <t>69cefa7454f00230c6d0570e</t>
        </is>
      </c>
      <c r="D793" t="inlineStr">
        <is>
          <t>Software Engineer II</t>
        </is>
      </c>
      <c r="E793" t="inlineStr">
        <is>
          <t>1_Discovered</t>
        </is>
      </c>
      <c r="F793" t="inlineStr">
        <is>
          <t>fanout_batch</t>
        </is>
      </c>
      <c r="G793" t="inlineStr">
        <is>
          <t>retarget</t>
        </is>
      </c>
      <c r="H793" t="inlineStr">
        <is>
          <t>seed_google_cloud_infra_anchor_candidate</t>
        </is>
      </c>
      <c r="I793" t="inlineStr">
        <is>
          <t>Google Cloud Infra Anchor</t>
        </is>
      </c>
      <c r="J793" t="inlineStr">
        <is>
          <t>google_cloud_infra_mainline</t>
        </is>
      </c>
      <c r="K793" t="inlineStr">
        <is>
          <t>mainline</t>
        </is>
      </c>
      <c r="L793"/>
      <c r="M793"/>
      <c r="N793">
        <v>92.4</v>
      </c>
      <c r="O793" t="inlineStr">
        <is>
          <t>conditional_pass</t>
        </is>
      </c>
      <c r="P793">
        <f>HYPERLINK("file:///Users/jingyizhang/Documents/Playground/projects/local_job_resume_pipeline/data/deliverables/resume_portfolio/by_company/geico/2026-04-02/69cefa7454f00230c6d0570e/resume.md","/Users/jingyizhang/Documents/Playground/projects/local_job_resume_pipeline/data/deliverables/resume_portfolio/by_company/geico/2026-04-02/69cefa7454f00230c6d0570e/resume.md")</f>
      </c>
      <c r="Q793"/>
      <c r="R793">
        <f>HYPERLINK("https://geico.wd1.myworkdayjobs.com/External/job/Palo-Alto-CA/Software-Engineer-II_R0063023","https://geico.wd1.myworkdayjobs.com/External/job/Palo-Alto-CA/Software-Engineer-II_R0063023")</f>
      </c>
    </row>
    <row r="794">
      <c r="A794" t="inlineStr">
        <is>
          <t>Google</t>
        </is>
      </c>
      <c r="B794" t="inlineStr">
        <is>
          <t>2026-04-02 18:02:34</t>
        </is>
      </c>
      <c r="C794" t="inlineStr">
        <is>
          <t>69cef58acdb525785fb9d9f4</t>
        </is>
      </c>
      <c r="D794" t="inlineStr">
        <is>
          <t>Software Engineer III, Full Stack, Commerce</t>
        </is>
      </c>
      <c r="E794" t="inlineStr">
        <is>
          <t>1_Discovered</t>
        </is>
      </c>
      <c r="F794" t="inlineStr">
        <is>
          <t>fanout_batch</t>
        </is>
      </c>
      <c r="G794" t="inlineStr">
        <is>
          <t>retarget</t>
        </is>
      </c>
      <c r="H794" t="inlineStr">
        <is>
          <t>seed_codex_google_fullstack</t>
        </is>
      </c>
      <c r="I794" t="inlineStr">
        <is>
          <t>Google Full Stack</t>
        </is>
      </c>
      <c r="J794" t="inlineStr">
        <is>
          <t>google_product_ai_mainline</t>
        </is>
      </c>
      <c r="K794" t="inlineStr">
        <is>
          <t>mainline</t>
        </is>
      </c>
      <c r="L794"/>
      <c r="M794"/>
      <c r="N794">
        <v>90.8</v>
      </c>
      <c r="O794" t="inlineStr">
        <is>
          <t>conditional_pass</t>
        </is>
      </c>
      <c r="P794">
        <f>HYPERLINK("file:///Users/jingyizhang/Documents/Playground/projects/local_job_resume_pipeline/data/deliverables/resume_portfolio/by_company/google/2026-04-02/69cef58acdb525785fb9d9f4/resume.md","/Users/jingyizhang/Documents/Playground/projects/local_job_resume_pipeline/data/deliverables/resume_portfolio/by_company/google/2026-04-02/69cef58acdb525785fb9d9f4/resume.md")</f>
      </c>
      <c r="Q794"/>
      <c r="R794">
        <f>HYPERLINK("https://careers.google.com/jobs/results/83978624687841990-software-engineer-iii/?src=Online/LinkedIn/linkedin_us&amp;utm_source=linkedin&amp;utm_medium=jobposting&amp;utm_campaign=contract","https://careers.google.com/jobs/results/83978624687841990-software-engineer-iii/?src=Online/LinkedIn/linkedin_us&amp;utm_source=linkedin&amp;utm_medium=jobposting&amp;utm_campaign=contract")</f>
      </c>
    </row>
    <row r="795">
      <c r="A795" t="inlineStr">
        <is>
          <t>HubSpot</t>
        </is>
      </c>
      <c r="B795" t="inlineStr">
        <is>
          <t>2026-04-02 18:02:00</t>
        </is>
      </c>
      <c r="C795" t="inlineStr">
        <is>
          <t>69cef568cdb525785fb9d9d6</t>
        </is>
      </c>
      <c r="D795" t="inlineStr">
        <is>
          <t>Senior Software Engineer II</t>
        </is>
      </c>
      <c r="E795" t="inlineStr">
        <is>
          <t>1_Discovered</t>
        </is>
      </c>
      <c r="F795" t="inlineStr">
        <is>
          <t>seed_validation</t>
        </is>
      </c>
      <c r="G795" t="inlineStr">
        <is>
          <t>reuse</t>
        </is>
      </c>
      <c r="H795" t="inlineStr">
        <is>
          <t>seed_cisco_backend_api</t>
        </is>
      </c>
      <c r="I795" t="inlineStr">
        <is>
          <t>Cisco Backend API</t>
        </is>
      </c>
      <c r="J795"/>
      <c r="K795"/>
      <c r="L795"/>
      <c r="M795"/>
      <c r="N795"/>
      <c r="O795"/>
      <c r="P795"/>
      <c r="Q795"/>
      <c r="R795">
        <f>HYPERLINK("https://boards.greenhouse.io/embed/job_app?token=5169115&amp;utm_source=jobright","https://boards.greenhouse.io/embed/job_app?token=5169115&amp;utm_source=jobright")</f>
      </c>
    </row>
    <row r="796">
      <c r="A796" t="inlineStr">
        <is>
          <t>Mastercard</t>
        </is>
      </c>
      <c r="B796" t="inlineStr">
        <is>
          <t>2026-04-02 17:59:36</t>
        </is>
      </c>
      <c r="C796" t="inlineStr">
        <is>
          <t>69cef4d8398fb071abf8b390</t>
        </is>
      </c>
      <c r="D796" t="inlineStr">
        <is>
          <t>Senior Software Engineer</t>
        </is>
      </c>
      <c r="E796" t="inlineStr">
        <is>
          <t>1_Discovered</t>
        </is>
      </c>
      <c r="F796" t="inlineStr">
        <is>
          <t>fanout_batch</t>
        </is>
      </c>
      <c r="G796" t="inlineStr">
        <is>
          <t>retarget</t>
        </is>
      </c>
      <c r="H796" t="inlineStr">
        <is>
          <t>seed_fullstack_dotnet_azure</t>
        </is>
      </c>
      <c r="I796" t="inlineStr">
        <is>
          <t>Fullstack DotNet Azure</t>
        </is>
      </c>
      <c r="J796"/>
      <c r="K796"/>
      <c r="L796"/>
      <c r="M796"/>
      <c r="N796">
        <v>94.3</v>
      </c>
      <c r="O796" t="inlineStr">
        <is>
          <t>pass</t>
        </is>
      </c>
      <c r="P796">
        <f>HYPERLINK("file:///Users/jingyizhang/Documents/Playground/projects/local_job_resume_pipeline/data/deliverables/resume_portfolio/by_company/mastercard/2026-04-02/69cef4d8398fb071abf8b390/resume.md","/Users/jingyizhang/Documents/Playground/projects/local_job_resume_pipeline/data/deliverables/resume_portfolio/by_company/mastercard/2026-04-02/69cef4d8398fb071abf8b390/resume.md")</f>
      </c>
      <c r="Q796"/>
      <c r="R796">
        <f>HYPERLINK("https://careers.mastercard.com/us/en/job/MASRUSR274135EXTERNALENUS/Senior-Software-Engineer?utm_source=linkedin&amp;utm_medium=phenom-feeds&amp;source=LINKEDIN","https://careers.mastercard.com/us/en/job/MASRUSR274135EXTERNALENUS/Senior-Software-Engineer?utm_source=linkedin&amp;utm_medium=phenom-feeds&amp;source=LINKEDIN")</f>
      </c>
    </row>
    <row r="797">
      <c r="A797" t="inlineStr">
        <is>
          <t>PCI Energy Solutions</t>
        </is>
      </c>
      <c r="B797" t="inlineStr">
        <is>
          <t>2026-04-02 17:54:53</t>
        </is>
      </c>
      <c r="C797" t="inlineStr">
        <is>
          <t>69cef3bd366bb95ba55118c9</t>
        </is>
      </c>
      <c r="D797" t="inlineStr">
        <is>
          <t>Software Developer</t>
        </is>
      </c>
      <c r="E797" t="inlineStr">
        <is>
          <t>1_Discovered</t>
        </is>
      </c>
      <c r="F797" t="inlineStr">
        <is>
          <t>fanout_batch</t>
        </is>
      </c>
      <c r="G797" t="inlineStr">
        <is>
          <t>retarget</t>
        </is>
      </c>
      <c r="H797" t="inlineStr">
        <is>
          <t>seed_cisco_backend_api</t>
        </is>
      </c>
      <c r="I797" t="inlineStr">
        <is>
          <t>Cisco Backend API</t>
        </is>
      </c>
      <c r="J797"/>
      <c r="K797"/>
      <c r="L797"/>
      <c r="M797"/>
      <c r="N797">
        <v>84.5</v>
      </c>
      <c r="O797" t="inlineStr">
        <is>
          <t>fail</t>
        </is>
      </c>
      <c r="P797">
        <f>HYPERLINK("file:///Users/jingyizhang/Documents/Playground/projects/local_job_resume_pipeline/data/deliverables/resume_portfolio/by_company/pci-energy-solutions/2026-04-02/69cef3bd366bb95ba55118c9/resume.md","/Users/jingyizhang/Documents/Playground/projects/local_job_resume_pipeline/data/deliverables/resume_portfolio/by_company/pci-energy-solutions/2026-04-02/69cef3bd366bb95ba55118c9/resume.md")</f>
      </c>
      <c r="Q797"/>
      <c r="R797">
        <f>HYPERLINK("https://pcienergysolutions.applicantstack.com/x/detail/a24iqm7geu5b","https://pcienergysolutions.applicantstack.com/x/detail/a24iqm7geu5b")</f>
      </c>
    </row>
    <row r="798">
      <c r="A798" t="inlineStr">
        <is>
          <t>LinkedIn</t>
        </is>
      </c>
      <c r="B798" t="inlineStr">
        <is>
          <t>2026-04-02 17:53:22</t>
        </is>
      </c>
      <c r="C798" t="inlineStr">
        <is>
          <t>69cef362398fb071abf8b1bb</t>
        </is>
      </c>
      <c r="D798" t="inlineStr">
        <is>
          <t>Software Engineer, Machine Learning</t>
        </is>
      </c>
      <c r="E798" t="inlineStr">
        <is>
          <t>1_Discovered</t>
        </is>
      </c>
      <c r="F798" t="inlineStr">
        <is>
          <t>seed_source</t>
        </is>
      </c>
      <c r="G798" t="inlineStr">
        <is>
          <t>seed_source</t>
        </is>
      </c>
      <c r="H798" t="inlineStr">
        <is>
          <t>seed_linkedin_mle_foundation</t>
        </is>
      </c>
      <c r="I798" t="inlineStr">
        <is>
          <t>LinkedIn MLE Foundation</t>
        </is>
      </c>
      <c r="J798"/>
      <c r="K798"/>
      <c r="L798"/>
      <c r="M798"/>
      <c r="N798">
        <v>94.3</v>
      </c>
      <c r="O798" t="inlineStr">
        <is>
          <t>pass</t>
        </is>
      </c>
      <c r="P798">
        <f>HYPERLINK("file:///Users/jingyizhang/Documents/Playground/projects/local_job_resume_pipeline/data/deliverables/resume_portfolio/by_company/linkedin/2026-04-02/69cef362398fb071abf8b1bb/resume.md","/Users/jingyizhang/Documents/Playground/projects/local_job_resume_pipeline/data/deliverables/resume_portfolio/by_company/linkedin/2026-04-02/69cef362398fb071abf8b1bb/resume.md")</f>
      </c>
      <c r="Q798"/>
      <c r="R798">
        <f>HYPERLINK("https://jobs.smartrecruiters.com/LinkedIn3/744000118505426-software-engineer-machine-learning","https://jobs.smartrecruiters.com/LinkedIn3/744000118505426-software-engineer-machine-learning")</f>
      </c>
    </row>
    <row r="799">
      <c r="A799" t="inlineStr">
        <is>
          <t>CSG</t>
        </is>
      </c>
      <c r="B799" t="inlineStr">
        <is>
          <t>2026-04-02 17:52:46</t>
        </is>
      </c>
      <c r="C799" t="inlineStr">
        <is>
          <t>69cef33e398fb071abf8b0b1</t>
        </is>
      </c>
      <c r="D799" t="inlineStr">
        <is>
          <t>Software Dev Engr Sr</t>
        </is>
      </c>
      <c r="E799" t="inlineStr">
        <is>
          <t>1_Discovered</t>
        </is>
      </c>
      <c r="F799" t="inlineStr">
        <is>
          <t>fanout_batch</t>
        </is>
      </c>
      <c r="G799" t="inlineStr">
        <is>
          <t>retarget</t>
        </is>
      </c>
      <c r="H799" t="inlineStr">
        <is>
          <t>seed_generalist_dotnet_enterprise</t>
        </is>
      </c>
      <c r="I799" t="inlineStr">
        <is>
          <t>Generalist DotNet Enterprise</t>
        </is>
      </c>
      <c r="J799"/>
      <c r="K799"/>
      <c r="L799"/>
      <c r="M799"/>
      <c r="N799">
        <v>95.4</v>
      </c>
      <c r="O799" t="inlineStr">
        <is>
          <t>pass</t>
        </is>
      </c>
      <c r="P799">
        <f>HYPERLINK("file:///Users/jingyizhang/Documents/Playground/projects/local_job_resume_pipeline/data/deliverables/resume_portfolio/by_company/csg/2026-04-02/69cef33e398fb071abf8b0b1/resume.md","/Users/jingyizhang/Documents/Playground/projects/local_job_resume_pipeline/data/deliverables/resume_portfolio/by_company/csg/2026-04-02/69cef33e398fb071abf8b0b1/resume.md")</f>
      </c>
      <c r="Q799"/>
      <c r="R799">
        <f>HYPERLINK("https://csgi.wd5.myworkdayjobs.com/CSGCareers/job/United-States-Remote/Software-Dev-Engr-Sr_31714?source=LinkedIn","https://csgi.wd5.myworkdayjobs.com/CSGCareers/job/United-States-Remote/Software-Dev-Engr-Sr_31714?source=LinkedIn")</f>
      </c>
    </row>
    <row r="800">
      <c r="A800" t="inlineStr">
        <is>
          <t>Uber</t>
        </is>
      </c>
      <c r="B800" t="inlineStr">
        <is>
          <t>2026-04-02 17:52:38</t>
        </is>
      </c>
      <c r="C800" t="inlineStr">
        <is>
          <t>69cef33654f00230c6d051a9</t>
        </is>
      </c>
      <c r="D800" t="inlineStr">
        <is>
          <t>Machine Learning Engineer II</t>
        </is>
      </c>
      <c r="E800" t="inlineStr">
        <is>
          <t>1_Discovered</t>
        </is>
      </c>
      <c r="F800" t="inlineStr">
        <is>
          <t>fanout_batch</t>
        </is>
      </c>
      <c r="G800" t="inlineStr">
        <is>
          <t>retarget</t>
        </is>
      </c>
      <c r="H800" t="inlineStr">
        <is>
          <t>seed_bytedance_ml_grad</t>
        </is>
      </c>
      <c r="I800" t="inlineStr">
        <is>
          <t>ByteDance ML Grad</t>
        </is>
      </c>
      <c r="J800"/>
      <c r="K800"/>
      <c r="L800"/>
      <c r="M800"/>
      <c r="N800">
        <v>95.3</v>
      </c>
      <c r="O800" t="inlineStr">
        <is>
          <t>pass</t>
        </is>
      </c>
      <c r="P800">
        <f>HYPERLINK("file:///Users/jingyizhang/Documents/Playground/projects/local_job_resume_pipeline/data/deliverables/resume_portfolio/by_company/uber/2026-04-02/69cef33654f00230c6d051a9/resume.md","/Users/jingyizhang/Documents/Playground/projects/local_job_resume_pipeline/data/deliverables/resume_portfolio/by_company/uber/2026-04-02/69cef33654f00230c6d051a9/resume.md")</f>
      </c>
      <c r="Q800"/>
      <c r="R800">
        <f>HYPERLINK("https://tnl2.jometer.com/v2/job?jz=5wqzs4cedd7c1451a25c6d0b60187e83c32feKMAGUCAAAABQ&amp;iis=Job%20Board%20-%20Recruitment%20Marketing&amp;iisn=LinkedIn","https://tnl2.jometer.com/v2/job?jz=5wqzs4cedd7c1451a25c6d0b60187e83c32feKMAGUCAAAABQ&amp;iis=Job%20Board%20-%20Recruitment%20Marketing&amp;iisn=LinkedIn")</f>
      </c>
    </row>
    <row r="801">
      <c r="A801" t="inlineStr">
        <is>
          <t>Uber</t>
        </is>
      </c>
      <c r="B801" t="inlineStr">
        <is>
          <t>2026-04-02 17:52:29</t>
        </is>
      </c>
      <c r="C801" t="inlineStr">
        <is>
          <t>69cef32d54f00230c6d05152</t>
        </is>
      </c>
      <c r="D801" t="inlineStr">
        <is>
          <t>Software Engineer II - AI Security &amp; Governance</t>
        </is>
      </c>
      <c r="E801" t="inlineStr">
        <is>
          <t>1_Discovered</t>
        </is>
      </c>
      <c r="F801" t="inlineStr">
        <is>
          <t>fanout_batch</t>
        </is>
      </c>
      <c r="G801" t="inlineStr">
        <is>
          <t>retarget</t>
        </is>
      </c>
      <c r="H801" t="inlineStr">
        <is>
          <t>seed_codex_google_aiml</t>
        </is>
      </c>
      <c r="I801" t="inlineStr">
        <is>
          <t>Google AIML SWE</t>
        </is>
      </c>
      <c r="J801" t="inlineStr">
        <is>
          <t>google_product_ai_mainline</t>
        </is>
      </c>
      <c r="K801" t="inlineStr">
        <is>
          <t>mainline</t>
        </is>
      </c>
      <c r="L801"/>
      <c r="M801"/>
      <c r="N801">
        <v>95.9</v>
      </c>
      <c r="O801" t="inlineStr">
        <is>
          <t>pass</t>
        </is>
      </c>
      <c r="P801">
        <f>HYPERLINK("file:///Users/jingyizhang/Documents/Playground/projects/local_job_resume_pipeline/data/deliverables/resume_portfolio/by_company/uber/2026-04-02/69cef32d54f00230c6d05152/resume.md","/Users/jingyizhang/Documents/Playground/projects/local_job_resume_pipeline/data/deliverables/resume_portfolio/by_company/uber/2026-04-02/69cef32d54f00230c6d05152/resume.md")</f>
      </c>
      <c r="Q801"/>
      <c r="R801">
        <f>HYPERLINK("https://tnl2.jometer.com/v2/job?jz=5wqzs703576b09608980099ae4512750d5d76KMAGUCAAAABQ&amp;iis=Job%20Board%20-%20Recruitment%20Marketing&amp;iisn=LinkedIn","https://tnl2.jometer.com/v2/job?jz=5wqzs703576b09608980099ae4512750d5d76KMAGUCAAAABQ&amp;iis=Job%20Board%20-%20Recruitment%20Marketing&amp;iisn=LinkedIn")</f>
      </c>
    </row>
    <row r="802">
      <c r="A802" t="inlineStr">
        <is>
          <t>Amazon</t>
        </is>
      </c>
      <c r="B802" t="inlineStr">
        <is>
          <t>2026-04-02 17:50:54</t>
        </is>
      </c>
      <c r="C802" t="inlineStr">
        <is>
          <t>69cef2ce398fb071abf8ad6f</t>
        </is>
      </c>
      <c r="D802" t="inlineStr">
        <is>
          <t>Software Development Engineer, Amazon Connect Contact Lens</t>
        </is>
      </c>
      <c r="E802" t="inlineStr">
        <is>
          <t>1_Discovered</t>
        </is>
      </c>
      <c r="F802" t="inlineStr">
        <is>
          <t>seed_validation</t>
        </is>
      </c>
      <c r="G802" t="inlineStr">
        <is>
          <t>reuse</t>
        </is>
      </c>
      <c r="H802" t="inlineStr">
        <is>
          <t>seed_codex_google_fullstack</t>
        </is>
      </c>
      <c r="I802" t="inlineStr">
        <is>
          <t>Google Full Stack</t>
        </is>
      </c>
      <c r="J802" t="inlineStr">
        <is>
          <t>google_product_ai_mainline</t>
        </is>
      </c>
      <c r="K802" t="inlineStr">
        <is>
          <t>mainline</t>
        </is>
      </c>
      <c r="L802"/>
      <c r="M802"/>
      <c r="N802"/>
      <c r="O802"/>
      <c r="P802"/>
      <c r="Q802"/>
      <c r="R802">
        <f>HYPERLINK("https://www.amazon.jobs/en/jobs/10382825/software-development-engineer-amazon-connect-contact-lens","https://www.amazon.jobs/en/jobs/10382825/software-development-engineer-amazon-connect-contact-lens")</f>
      </c>
    </row>
    <row r="803">
      <c r="A803" t="inlineStr">
        <is>
          <t>Google</t>
        </is>
      </c>
      <c r="B803" t="inlineStr">
        <is>
          <t>2026-04-02 17:45:10</t>
        </is>
      </c>
      <c r="C803" t="inlineStr">
        <is>
          <t>6972333747b64f4e963e75ea</t>
        </is>
      </c>
      <c r="D803" t="inlineStr">
        <is>
          <t>Software Engineer III, Full Stack, Google Ads</t>
        </is>
      </c>
      <c r="E803" t="inlineStr">
        <is>
          <t>1_Discovered</t>
        </is>
      </c>
      <c r="F803" t="inlineStr">
        <is>
          <t>fanout_batch</t>
        </is>
      </c>
      <c r="G803" t="inlineStr">
        <is>
          <t>retarget</t>
        </is>
      </c>
      <c r="H803" t="inlineStr">
        <is>
          <t>seed_codex_google_fullstack</t>
        </is>
      </c>
      <c r="I803" t="inlineStr">
        <is>
          <t>Google Full Stack</t>
        </is>
      </c>
      <c r="J803" t="inlineStr">
        <is>
          <t>google_product_ai_mainline</t>
        </is>
      </c>
      <c r="K803" t="inlineStr">
        <is>
          <t>mainline</t>
        </is>
      </c>
      <c r="L803"/>
      <c r="M803"/>
      <c r="N803">
        <v>92.7</v>
      </c>
      <c r="O803" t="inlineStr">
        <is>
          <t>conditional_pass</t>
        </is>
      </c>
      <c r="P803">
        <f>HYPERLINK("file:///Users/jingyizhang/Documents/Playground/projects/local_job_resume_pipeline/data/deliverables/resume_portfolio/by_company/google/2026-04-02/6972333747b64f4e963e75ea/resume.md","/Users/jingyizhang/Documents/Playground/projects/local_job_resume_pipeline/data/deliverables/resume_portfolio/by_company/google/2026-04-02/6972333747b64f4e963e75ea/resume.md")</f>
      </c>
      <c r="Q803"/>
      <c r="R803">
        <f>HYPERLINK("https://careers.google.com/jobs/results/99171459850478278-software-engineer-iii/?src=Online/LinkedIn/linkedin_us&amp;utm_source=linkedin&amp;utm_medium=jobposting&amp;utm_campaign=contract","https://careers.google.com/jobs/results/99171459850478278-software-engineer-iii/?src=Online/LinkedIn/linkedin_us&amp;utm_source=linkedin&amp;utm_medium=jobposting&amp;utm_campaign=contract")</f>
      </c>
    </row>
    <row r="804">
      <c r="A804" t="inlineStr">
        <is>
          <t>Distyl</t>
        </is>
      </c>
      <c r="B804" t="inlineStr">
        <is>
          <t>2026-04-02 17:42:01</t>
        </is>
      </c>
      <c r="C804" t="inlineStr">
        <is>
          <t>699917edce78e77b4fddba00</t>
        </is>
      </c>
      <c r="D804" t="inlineStr">
        <is>
          <t>AI Evaluation Engineer</t>
        </is>
      </c>
      <c r="E804" t="inlineStr">
        <is>
          <t>1_Discovered</t>
        </is>
      </c>
      <c r="F804" t="inlineStr">
        <is>
          <t>seed_validation</t>
        </is>
      </c>
      <c r="G804" t="inlineStr">
        <is>
          <t>reuse</t>
        </is>
      </c>
      <c r="H804" t="inlineStr">
        <is>
          <t>seed_codex_google_aiml</t>
        </is>
      </c>
      <c r="I804" t="inlineStr">
        <is>
          <t>Google AIML SWE</t>
        </is>
      </c>
      <c r="J804" t="inlineStr">
        <is>
          <t>google_product_ai_mainline</t>
        </is>
      </c>
      <c r="K804" t="inlineStr">
        <is>
          <t>mainline</t>
        </is>
      </c>
      <c r="L804"/>
      <c r="M804"/>
      <c r="N804"/>
      <c r="O804"/>
      <c r="P804"/>
      <c r="Q804"/>
      <c r="R804">
        <f>HYPERLINK("https://jobs.ashbyhq.com/Distyl/75003495-773a-4b3d-99f2-a8976c40012f?utm_source=LinkedInPaid","https://jobs.ashbyhq.com/Distyl/75003495-773a-4b3d-99f2-a8976c40012f?utm_source=LinkedInPaid")</f>
      </c>
    </row>
    <row r="805">
      <c r="A805" t="inlineStr">
        <is>
          <t>Google</t>
        </is>
      </c>
      <c r="B805" t="inlineStr">
        <is>
          <t>2026-04-02 17:38:37</t>
        </is>
      </c>
      <c r="C805" t="inlineStr">
        <is>
          <t>69ceefed54f00230c6d04ead</t>
        </is>
      </c>
      <c r="D805" t="inlineStr">
        <is>
          <t>Software Engineer II, Site Reliability</t>
        </is>
      </c>
      <c r="E805" t="inlineStr">
        <is>
          <t>1_Discovered</t>
        </is>
      </c>
      <c r="F805" t="inlineStr">
        <is>
          <t>fanout_batch</t>
        </is>
      </c>
      <c r="G805" t="inlineStr">
        <is>
          <t>reuse</t>
        </is>
      </c>
      <c r="H805" t="inlineStr">
        <is>
          <t>seed_google_cloud_infra_anchor_candidate</t>
        </is>
      </c>
      <c r="I805" t="inlineStr">
        <is>
          <t>Google Cloud Infra Anchor</t>
        </is>
      </c>
      <c r="J805" t="inlineStr">
        <is>
          <t>google_cloud_infra_mainline</t>
        </is>
      </c>
      <c r="K805" t="inlineStr">
        <is>
          <t>mainline</t>
        </is>
      </c>
      <c r="L805"/>
      <c r="M805"/>
      <c r="N805"/>
      <c r="O805"/>
      <c r="P805"/>
      <c r="Q805"/>
      <c r="R805">
        <f>HYPERLINK("https://careers.google.com/jobs/results/134098762728383174-software-engineer-ii/?src=Online/LinkedIn/linkedin_us&amp;utm_source=linkedin&amp;utm_medium=jobposting&amp;utm_campaign=contract","https://careers.google.com/jobs/results/134098762728383174-software-engineer-ii/?src=Online/LinkedIn/linkedin_us&amp;utm_source=linkedin&amp;utm_medium=jobposting&amp;utm_campaign=contract")</f>
      </c>
    </row>
    <row r="806">
      <c r="A806" t="inlineStr">
        <is>
          <t>Discord</t>
        </is>
      </c>
      <c r="B806" t="inlineStr">
        <is>
          <t>2026-04-02 17:37:53</t>
        </is>
      </c>
      <c r="C806" t="inlineStr">
        <is>
          <t>69ceefc154f00230c6d04e93</t>
        </is>
      </c>
      <c r="D806" t="inlineStr">
        <is>
          <t>Software Engineer- Database Infrastructure</t>
        </is>
      </c>
      <c r="E806" t="inlineStr">
        <is>
          <t>1_Discovered</t>
        </is>
      </c>
      <c r="F806" t="inlineStr">
        <is>
          <t>fanout_batch</t>
        </is>
      </c>
      <c r="G806" t="inlineStr">
        <is>
          <t>retarget</t>
        </is>
      </c>
      <c r="H806" t="inlineStr">
        <is>
          <t>seed_google_cloud_infra_anchor_candidate</t>
        </is>
      </c>
      <c r="I806" t="inlineStr">
        <is>
          <t>Google Cloud Infra Anchor</t>
        </is>
      </c>
      <c r="J806" t="inlineStr">
        <is>
          <t>google_cloud_infra_mainline</t>
        </is>
      </c>
      <c r="K806" t="inlineStr">
        <is>
          <t>mainline</t>
        </is>
      </c>
      <c r="L806"/>
      <c r="M806"/>
      <c r="N806">
        <v>84.5</v>
      </c>
      <c r="O806" t="inlineStr">
        <is>
          <t>fail</t>
        </is>
      </c>
      <c r="P806">
        <f>HYPERLINK("file:///Users/jingyizhang/Documents/Playground/projects/local_job_resume_pipeline/data/deliverables/resume_portfolio/by_company/discord/2026-04-02/69ceefc154f00230c6d04e93/resume.md","/Users/jingyizhang/Documents/Playground/projects/local_job_resume_pipeline/data/deliverables/resume_portfolio/by_company/discord/2026-04-02/69ceefc154f00230c6d04e93/resume.md")</f>
      </c>
      <c r="Q806"/>
      <c r="R806">
        <f>HYPERLINK("https://boards.greenhouse.io/embed/job_app?token=8487457002&amp;utm_source=jobright","https://boards.greenhouse.io/embed/job_app?token=8487457002&amp;utm_source=jobright")</f>
      </c>
    </row>
    <row r="807">
      <c r="A807" t="inlineStr">
        <is>
          <t>Distyl</t>
        </is>
      </c>
      <c r="B807" t="inlineStr">
        <is>
          <t>2026-04-02 17:37:11</t>
        </is>
      </c>
      <c r="C807" t="inlineStr">
        <is>
          <t>69992533e0bddb6acac82bf6</t>
        </is>
      </c>
      <c r="D807" t="inlineStr">
        <is>
          <t>Software Engineer - Back End</t>
        </is>
      </c>
      <c r="E807" t="inlineStr">
        <is>
          <t>1_Discovered</t>
        </is>
      </c>
      <c r="F807" t="inlineStr">
        <is>
          <t>fanout_batch</t>
        </is>
      </c>
      <c r="G807" t="inlineStr">
        <is>
          <t>retarget</t>
        </is>
      </c>
      <c r="H807" t="inlineStr">
        <is>
          <t>seed_aws_support_backend_anchor</t>
        </is>
      </c>
      <c r="I807" t="inlineStr">
        <is>
          <t>AWS Support Backend Anchor</t>
        </is>
      </c>
      <c r="J807"/>
      <c r="K807"/>
      <c r="L807"/>
      <c r="M807"/>
      <c r="N807">
        <v>94.2</v>
      </c>
      <c r="O807" t="inlineStr">
        <is>
          <t>pass</t>
        </is>
      </c>
      <c r="P807">
        <f>HYPERLINK("file:///Users/jingyizhang/Documents/Playground/projects/local_job_resume_pipeline/data/deliverables/resume_portfolio/by_company/distyl/2026-04-02/69992533e0bddb6acac82bf6/resume.md","/Users/jingyizhang/Documents/Playground/projects/local_job_resume_pipeline/data/deliverables/resume_portfolio/by_company/distyl/2026-04-02/69992533e0bddb6acac82bf6/resume.md")</f>
      </c>
      <c r="Q807"/>
      <c r="R807">
        <f>HYPERLINK("https://jobs.ashbyhq.com/Distyl/a906a364-236d-4c41-a844-dced0c394936?utm_source=LinkedInPaid","https://jobs.ashbyhq.com/Distyl/a906a364-236d-4c41-a844-dced0c394936?utm_source=LinkedInPaid")</f>
      </c>
    </row>
    <row r="808">
      <c r="A808" t="inlineStr">
        <is>
          <t>Distyl</t>
        </is>
      </c>
      <c r="B808" t="inlineStr">
        <is>
          <t>2026-04-02 17:36:59</t>
        </is>
      </c>
      <c r="C808" t="inlineStr">
        <is>
          <t>69b2075065de58104c7174b4</t>
        </is>
      </c>
      <c r="D808" t="inlineStr">
        <is>
          <t>Frontend Product Engineer, AI Applications</t>
        </is>
      </c>
      <c r="E808" t="inlineStr">
        <is>
          <t>1_Discovered</t>
        </is>
      </c>
      <c r="F808" t="inlineStr">
        <is>
          <t>seed_validation</t>
        </is>
      </c>
      <c r="G808" t="inlineStr">
        <is>
          <t>reuse</t>
        </is>
      </c>
      <c r="H808" t="inlineStr">
        <is>
          <t>seed_frontend_web_perf</t>
        </is>
      </c>
      <c r="I808" t="inlineStr">
        <is>
          <t>Frontend Web Performance</t>
        </is>
      </c>
      <c r="J808"/>
      <c r="K808"/>
      <c r="L808"/>
      <c r="M808"/>
      <c r="N808"/>
      <c r="O808"/>
      <c r="P808"/>
      <c r="Q808"/>
      <c r="R808">
        <f>HYPERLINK("https://jobs.ashbyhq.com/Distyl/147bb404-915d-44ec-b268-be02701872bc?utm_source=LinkedInPaid","https://jobs.ashbyhq.com/Distyl/147bb404-915d-44ec-b268-be02701872bc?utm_source=LinkedInPaid")</f>
      </c>
    </row>
    <row r="809">
      <c r="A809" t="inlineStr">
        <is>
          <t>Lamb Weston</t>
        </is>
      </c>
      <c r="B809" t="inlineStr">
        <is>
          <t>2026-04-02 17:34:30</t>
        </is>
      </c>
      <c r="C809" t="inlineStr">
        <is>
          <t>69ceeef6891d7b11cfcce618</t>
        </is>
      </c>
      <c r="D809" t="inlineStr">
        <is>
          <t>Data Engineer</t>
        </is>
      </c>
      <c r="E809" t="inlineStr">
        <is>
          <t>1_Discovered</t>
        </is>
      </c>
      <c r="F809" t="inlineStr">
        <is>
          <t>seed_validation</t>
        </is>
      </c>
      <c r="G809" t="inlineStr">
        <is>
          <t>reuse</t>
        </is>
      </c>
      <c r="H809" t="inlineStr">
        <is>
          <t>seed_qualified_health_data_engineer</t>
        </is>
      </c>
      <c r="I809" t="inlineStr">
        <is>
          <t>Qualified Health Data Engineer</t>
        </is>
      </c>
      <c r="J809"/>
      <c r="K809"/>
      <c r="L809"/>
      <c r="M809"/>
      <c r="N809"/>
      <c r="O809"/>
      <c r="P809"/>
      <c r="Q809"/>
      <c r="R809">
        <f>HYPERLINK("https://lambweston.wd1.myworkdayjobs.com/en-US/Lamb_External/job/Eagle-ID-USA-Global-Headquarters/Data-Engineer_Req-259739?source=LinkedIn","https://lambweston.wd1.myworkdayjobs.com/en-US/Lamb_External/job/Eagle-ID-USA-Global-Headquarters/Data-Engineer_Req-259739?source=LinkedIn")</f>
      </c>
    </row>
    <row r="810">
      <c r="A810" t="inlineStr">
        <is>
          <t>Google</t>
        </is>
      </c>
      <c r="B810" t="inlineStr">
        <is>
          <t>2026-04-02 17:33:59</t>
        </is>
      </c>
      <c r="C810" t="inlineStr">
        <is>
          <t>69ceeed7398fb071abf8ac72</t>
        </is>
      </c>
      <c r="D810" t="inlineStr">
        <is>
          <t>Software Engineer, Supply Chain Systems</t>
        </is>
      </c>
      <c r="E810" t="inlineStr">
        <is>
          <t>1_Discovered</t>
        </is>
      </c>
      <c r="F810" t="inlineStr">
        <is>
          <t>fanout_batch</t>
        </is>
      </c>
      <c r="G810" t="inlineStr">
        <is>
          <t>reuse</t>
        </is>
      </c>
      <c r="H810" t="inlineStr">
        <is>
          <t>seed_codex_google_fullstack</t>
        </is>
      </c>
      <c r="I810" t="inlineStr">
        <is>
          <t>Google Full Stack</t>
        </is>
      </c>
      <c r="J810" t="inlineStr">
        <is>
          <t>google_product_ai_mainline</t>
        </is>
      </c>
      <c r="K810" t="inlineStr">
        <is>
          <t>mainline</t>
        </is>
      </c>
      <c r="L810"/>
      <c r="M810"/>
      <c r="N810"/>
      <c r="O810"/>
      <c r="P810"/>
      <c r="Q810"/>
      <c r="R810">
        <f>HYPERLINK("https://careers.google.com/jobs/results/101053834108773062-software-engineer/?src=Online/LinkedIn/linkedin_us&amp;utm_source=linkedin&amp;utm_medium=jobposting&amp;utm_campaign=contract","https://careers.google.com/jobs/results/101053834108773062-software-engineer/?src=Online/LinkedIn/linkedin_us&amp;utm_source=linkedin&amp;utm_medium=jobposting&amp;utm_campaign=contract")</f>
      </c>
    </row>
    <row r="811">
      <c r="A811" t="inlineStr">
        <is>
          <t>Spark Foundry</t>
        </is>
      </c>
      <c r="B811" t="inlineStr">
        <is>
          <t>2026-04-02 17:32:40</t>
        </is>
      </c>
      <c r="C811" t="inlineStr">
        <is>
          <t>69ceee88398fb071abf8ac37</t>
        </is>
      </c>
      <c r="D811" t="inlineStr">
        <is>
          <t>Manager, Data Engineering (AI and Machine Learning)</t>
        </is>
      </c>
      <c r="E811" t="inlineStr">
        <is>
          <t>1_Discovered</t>
        </is>
      </c>
      <c r="F811" t="inlineStr">
        <is>
          <t>fanout_batch</t>
        </is>
      </c>
      <c r="G811" t="inlineStr">
        <is>
          <t>retarget</t>
        </is>
      </c>
      <c r="H811" t="inlineStr">
        <is>
          <t>seed_h2o_ai_engineer</t>
        </is>
      </c>
      <c r="I811" t="inlineStr">
        <is>
          <t>H2O AI Engineer</t>
        </is>
      </c>
      <c r="J811"/>
      <c r="K811"/>
      <c r="L811"/>
      <c r="M811"/>
      <c r="N811">
        <v>85.7</v>
      </c>
      <c r="O811" t="inlineStr">
        <is>
          <t>fail</t>
        </is>
      </c>
      <c r="P811">
        <f>HYPERLINK("file:///Users/jingyizhang/Documents/Playground/projects/local_job_resume_pipeline/data/deliverables/resume_portfolio/by_company/spark-foundry/2026-04-02/69ceee88398fb071abf8ac37/resume.md","/Users/jingyizhang/Documents/Playground/projects/local_job_resume_pipeline/data/deliverables/resume_portfolio/by_company/spark-foundry/2026-04-02/69ceee88398fb071abf8ac37/resume.md")</f>
      </c>
      <c r="Q811"/>
      <c r="R811">
        <f>HYPERLINK("https://careers.publicisgroupe.com/jobs/133070?lang=en-us&amp;iis=Job+Board&amp;iisn=LinkedIn+Apply","https://careers.publicisgroupe.com/jobs/133070?lang=en-us&amp;iis=Job+Board&amp;iisn=LinkedIn+Apply")</f>
      </c>
    </row>
    <row r="812">
      <c r="A812" t="inlineStr">
        <is>
          <t>Sumo Logic</t>
        </is>
      </c>
      <c r="B812" t="inlineStr">
        <is>
          <t>2026-04-02 17:25:10</t>
        </is>
      </c>
      <c r="C812" t="inlineStr">
        <is>
          <t>6974392337785856350e33b5</t>
        </is>
      </c>
      <c r="D812" t="inlineStr">
        <is>
          <t>Software Engineer II - Core Platform</t>
        </is>
      </c>
      <c r="E812" t="inlineStr">
        <is>
          <t>1_Discovered</t>
        </is>
      </c>
      <c r="F812" t="inlineStr">
        <is>
          <t>fanout_batch</t>
        </is>
      </c>
      <c r="G812" t="inlineStr">
        <is>
          <t>retarget</t>
        </is>
      </c>
      <c r="H812" t="inlineStr">
        <is>
          <t>seed_google_cloud_infra_anchor_candidate</t>
        </is>
      </c>
      <c r="I812" t="inlineStr">
        <is>
          <t>Google Cloud Infra Anchor</t>
        </is>
      </c>
      <c r="J812" t="inlineStr">
        <is>
          <t>google_cloud_infra_mainline</t>
        </is>
      </c>
      <c r="K812" t="inlineStr">
        <is>
          <t>mainline</t>
        </is>
      </c>
      <c r="L812"/>
      <c r="M812"/>
      <c r="N812">
        <v>94.4</v>
      </c>
      <c r="O812" t="inlineStr">
        <is>
          <t>pass</t>
        </is>
      </c>
      <c r="P812">
        <f>HYPERLINK("file:///Users/jingyizhang/Documents/Playground/projects/local_job_resume_pipeline/data/deliverables/resume_portfolio/by_company/sumo-logic/2026-04-02/6974392337785856350e33b5/resume.md","/Users/jingyizhang/Documents/Playground/projects/local_job_resume_pipeline/data/deliverables/resume_portfolio/by_company/sumo-logic/2026-04-02/6974392337785856350e33b5/resume.md")</f>
      </c>
      <c r="Q812"/>
      <c r="R812">
        <f>HYPERLINK("https://boards.greenhouse.io/embed/job_app?token=7485892&amp;utm_source=jobright","https://boards.greenhouse.io/embed/job_app?token=7485892&amp;utm_source=jobright")</f>
      </c>
    </row>
    <row r="813">
      <c r="A813" t="inlineStr">
        <is>
          <t>MongoDB</t>
        </is>
      </c>
      <c r="B813" t="inlineStr">
        <is>
          <t>2026-04-02 17:24:43</t>
        </is>
      </c>
      <c r="C813" t="inlineStr">
        <is>
          <t>6986c6398ca8121a3a693ca4</t>
        </is>
      </c>
      <c r="D813" t="inlineStr">
        <is>
          <t>Software Engineer 3, Atlas Data Federation Customer Experience</t>
        </is>
      </c>
      <c r="E813" t="inlineStr">
        <is>
          <t>1_Discovered</t>
        </is>
      </c>
      <c r="F813" t="inlineStr">
        <is>
          <t>fanout_batch</t>
        </is>
      </c>
      <c r="G813" t="inlineStr">
        <is>
          <t>retarget</t>
        </is>
      </c>
      <c r="H813" t="inlineStr">
        <is>
          <t>seed_aws_support_backend_anchor</t>
        </is>
      </c>
      <c r="I813" t="inlineStr">
        <is>
          <t>AWS Support Backend Anchor</t>
        </is>
      </c>
      <c r="J813"/>
      <c r="K813"/>
      <c r="L813"/>
      <c r="M813"/>
      <c r="N813">
        <v>94.3</v>
      </c>
      <c r="O813" t="inlineStr">
        <is>
          <t>pass</t>
        </is>
      </c>
      <c r="P813">
        <f>HYPERLINK("file:///Users/jingyizhang/Documents/Playground/projects/local_job_resume_pipeline/data/deliverables/resume_portfolio/by_company/mongodb/2026-04-02/6986c6398ca8121a3a693ca4/resume.md","/Users/jingyizhang/Documents/Playground/projects/local_job_resume_pipeline/data/deliverables/resume_portfolio/by_company/mongodb/2026-04-02/6986c6398ca8121a3a693ca4/resume.md")</f>
      </c>
      <c r="Q813"/>
      <c r="R813">
        <f>HYPERLINK("https://boards.greenhouse.io/embed/job_app?token=7551186&amp;utm_source=jobright","https://boards.greenhouse.io/embed/job_app?token=7551186&amp;utm_source=jobright")</f>
      </c>
    </row>
    <row r="814">
      <c r="A814" t="inlineStr">
        <is>
          <t>Verisk</t>
        </is>
      </c>
      <c r="B814" t="inlineStr">
        <is>
          <t>2026-04-02 17:17:04</t>
        </is>
      </c>
      <c r="C814" t="inlineStr">
        <is>
          <t>69ceeae0398fb071abf8aac5</t>
        </is>
      </c>
      <c r="D814" t="inlineStr">
        <is>
          <t>Software Engineer III</t>
        </is>
      </c>
      <c r="E814" t="inlineStr">
        <is>
          <t>1_Discovered</t>
        </is>
      </c>
      <c r="F814" t="inlineStr">
        <is>
          <t>fanout_batch</t>
        </is>
      </c>
      <c r="G814" t="inlineStr">
        <is>
          <t>reuse</t>
        </is>
      </c>
      <c r="H814" t="inlineStr">
        <is>
          <t>seed_codex_amazon_sde</t>
        </is>
      </c>
      <c r="I814" t="inlineStr">
        <is>
          <t>Amazon SDE</t>
        </is>
      </c>
      <c r="J814" t="inlineStr">
        <is>
          <t>amazon_platform_mainline</t>
        </is>
      </c>
      <c r="K814" t="inlineStr">
        <is>
          <t>mainline</t>
        </is>
      </c>
      <c r="L814"/>
      <c r="M814"/>
      <c r="N814"/>
      <c r="O814"/>
      <c r="P814"/>
      <c r="Q814"/>
      <c r="R814">
        <f>HYPERLINK("https://fa-ewmy-saasfaprod1.fa.ocs.oraclecloud.com/hcmUI/CandidateExperience/en/job/3523/?utm_medium=jobboard&amp;utm_source=linkedin","https://fa-ewmy-saasfaprod1.fa.ocs.oraclecloud.com/hcmUI/CandidateExperience/en/job/3523/?utm_medium=jobboard&amp;utm_source=linkedin")</f>
      </c>
    </row>
    <row r="815">
      <c r="A815" t="inlineStr">
        <is>
          <t>Qualitest acq</t>
        </is>
      </c>
      <c r="B815" t="inlineStr">
        <is>
          <t>2026-04-02 17:16:31</t>
        </is>
      </c>
      <c r="C815" t="inlineStr">
        <is>
          <t>69ceeabf54f00230c6d04cc9</t>
        </is>
      </c>
      <c r="D815" t="inlineStr">
        <is>
          <t>Fullstack/ Backend Engineer</t>
        </is>
      </c>
      <c r="E815" t="inlineStr">
        <is>
          <t>1_Discovered</t>
        </is>
      </c>
      <c r="F815" t="inlineStr">
        <is>
          <t>fanout_batch</t>
        </is>
      </c>
      <c r="G815" t="inlineStr">
        <is>
          <t>retarget</t>
        </is>
      </c>
      <c r="H815" t="inlineStr">
        <is>
          <t>seed_codex_amazon_sde</t>
        </is>
      </c>
      <c r="I815" t="inlineStr">
        <is>
          <t>Amazon SDE</t>
        </is>
      </c>
      <c r="J815" t="inlineStr">
        <is>
          <t>amazon_platform_mainline</t>
        </is>
      </c>
      <c r="K815" t="inlineStr">
        <is>
          <t>mainline</t>
        </is>
      </c>
      <c r="L815"/>
      <c r="M815"/>
      <c r="N815">
        <v>93.3</v>
      </c>
      <c r="O815" t="inlineStr">
        <is>
          <t>pass</t>
        </is>
      </c>
      <c r="P815">
        <f>HYPERLINK("file:///Users/jingyizhang/Documents/Playground/projects/local_job_resume_pipeline/data/deliverables/resume_portfolio/by_company/qualitest-acq/2026-04-02/69ceeabf54f00230c6d04cc9/resume.md","/Users/jingyizhang/Documents/Playground/projects/local_job_resume_pipeline/data/deliverables/resume_portfolio/by_company/qualitest-acq/2026-04-02/69ceeabf54f00230c6d04cc9/resume.md")</f>
      </c>
      <c r="Q815"/>
      <c r="R815">
        <f>HYPERLINK("https://careers.qualitestgroup.com/job/Santa-Clara-Fullstack-Backend-Engineer-CA-95054/54596544/","https://careers.qualitestgroup.com/job/Santa-Clara-Fullstack-Backend-Engineer-CA-95054/54596544/")</f>
      </c>
    </row>
    <row r="816">
      <c r="A816" t="inlineStr">
        <is>
          <t>FICO</t>
        </is>
      </c>
      <c r="B816" t="inlineStr">
        <is>
          <t>2026-04-02 17:01:30</t>
        </is>
      </c>
      <c r="C816" t="inlineStr">
        <is>
          <t>69cee73acfdc6132f942dd6b</t>
        </is>
      </c>
      <c r="D816" t="inlineStr">
        <is>
          <t>Software Engineer II (Java, Streaming)</t>
        </is>
      </c>
      <c r="E816" t="inlineStr">
        <is>
          <t>1_Discovered</t>
        </is>
      </c>
      <c r="F816" t="inlineStr">
        <is>
          <t>fanout_batch</t>
        </is>
      </c>
      <c r="G816" t="inlineStr">
        <is>
          <t>reuse</t>
        </is>
      </c>
      <c r="H816" t="inlineStr">
        <is>
          <t>seed_paypal_java_backend</t>
        </is>
      </c>
      <c r="I816" t="inlineStr">
        <is>
          <t>PayPal Java Backend</t>
        </is>
      </c>
      <c r="J816"/>
      <c r="K816"/>
      <c r="L816"/>
      <c r="M816"/>
      <c r="N816"/>
      <c r="O816"/>
      <c r="P816"/>
      <c r="Q816"/>
      <c r="R816">
        <f>HYPERLINK("https://fico.wd1.myworkdayjobs.com/en-US/External/job/Work-from-Home-United-States/Software-Engineer-II--Java--Streaming-_31384?source=LinkedIn","https://fico.wd1.myworkdayjobs.com/en-US/External/job/Work-from-Home-United-States/Software-Engineer-II--Java--Streaming-_31384?source=LinkedIn")</f>
      </c>
    </row>
    <row r="817">
      <c r="A817" t="inlineStr">
        <is>
          <t>Lucid Services Group</t>
        </is>
      </c>
      <c r="B817" t="inlineStr">
        <is>
          <t>2026-04-02 17:01:26</t>
        </is>
      </c>
      <c r="C817" t="inlineStr">
        <is>
          <t>69cee736366bb95ba5510ee9</t>
        </is>
      </c>
      <c r="D817" t="inlineStr">
        <is>
          <t>Software Engineer</t>
        </is>
      </c>
      <c r="E817" t="inlineStr">
        <is>
          <t>1_Discovered</t>
        </is>
      </c>
      <c r="F817" t="inlineStr">
        <is>
          <t>fanout_batch</t>
        </is>
      </c>
      <c r="G817" t="inlineStr">
        <is>
          <t>retarget</t>
        </is>
      </c>
      <c r="H817" t="inlineStr">
        <is>
          <t>seed_paypal_java_backend</t>
        </is>
      </c>
      <c r="I817" t="inlineStr">
        <is>
          <t>PayPal Java Backend</t>
        </is>
      </c>
      <c r="J817"/>
      <c r="K817"/>
      <c r="L817"/>
      <c r="M817"/>
      <c r="N817">
        <v>93.5</v>
      </c>
      <c r="O817" t="inlineStr">
        <is>
          <t>pass</t>
        </is>
      </c>
      <c r="P817">
        <f>HYPERLINK("file:///Users/jingyizhang/Documents/Playground/projects/local_job_resume_pipeline/data/deliverables/resume_portfolio/by_company/lucid-services-group/2026-04-02/69cee736366bb95ba5510ee9/resume.md","/Users/jingyizhang/Documents/Playground/projects/local_job_resume_pipeline/data/deliverables/resume_portfolio/by_company/lucid-services-group/2026-04-02/69cee736366bb95ba5510ee9/resume.md")</f>
      </c>
      <c r="Q817"/>
      <c r="R817">
        <f>HYPERLINK("https://www.linkedin.com/jobs/view/4395394847","https://www.linkedin.com/jobs/view/4395394847")</f>
      </c>
    </row>
    <row r="818">
      <c r="A818" t="inlineStr">
        <is>
          <t>FICO</t>
        </is>
      </c>
      <c r="B818" t="inlineStr">
        <is>
          <t>2026-04-02 17:00:51</t>
        </is>
      </c>
      <c r="C818" t="inlineStr">
        <is>
          <t>69cee71354f00230c6d04bc2</t>
        </is>
      </c>
      <c r="D818" t="inlineStr">
        <is>
          <t>Sr Software Engineer (Java, Streaming)</t>
        </is>
      </c>
      <c r="E818" t="inlineStr">
        <is>
          <t>1_Discovered</t>
        </is>
      </c>
      <c r="F818" t="inlineStr">
        <is>
          <t>fanout_batch</t>
        </is>
      </c>
      <c r="G818" t="inlineStr">
        <is>
          <t>reuse</t>
        </is>
      </c>
      <c r="H818" t="inlineStr">
        <is>
          <t>seed_paypal_java_backend</t>
        </is>
      </c>
      <c r="I818" t="inlineStr">
        <is>
          <t>PayPal Java Backend</t>
        </is>
      </c>
      <c r="J818"/>
      <c r="K818"/>
      <c r="L818"/>
      <c r="M818"/>
      <c r="N818"/>
      <c r="O818"/>
      <c r="P818"/>
      <c r="Q818"/>
      <c r="R818">
        <f>HYPERLINK("https://fico.wd1.myworkdayjobs.com/en-US/External/job/Work-from-Home-United-States/Sr-Software-Engineer--Java--Streaming-_31383?source=LinkedIn","https://fico.wd1.myworkdayjobs.com/en-US/External/job/Work-from-Home-United-States/Sr-Software-Engineer--Java--Streaming-_31383?source=LinkedIn")</f>
      </c>
    </row>
    <row r="819">
      <c r="A819" t="inlineStr">
        <is>
          <t>General Motors</t>
        </is>
      </c>
      <c r="B819" t="inlineStr">
        <is>
          <t>2026-04-02 17:00:41</t>
        </is>
      </c>
      <c r="C819" t="inlineStr">
        <is>
          <t>69cee70954f00230c6d04ba2</t>
        </is>
      </c>
      <c r="D819" t="inlineStr">
        <is>
          <t>Software Engineer – Autonomy Evaluation</t>
        </is>
      </c>
      <c r="E819" t="inlineStr">
        <is>
          <t>1_Discovered</t>
        </is>
      </c>
      <c r="F819" t="inlineStr">
        <is>
          <t>retarget_trial</t>
        </is>
      </c>
      <c r="G819" t="inlineStr">
        <is>
          <t>retarget</t>
        </is>
      </c>
      <c r="H819" t="inlineStr">
        <is>
          <t>seed_codex_google_aiml</t>
        </is>
      </c>
      <c r="I819" t="inlineStr">
        <is>
          <t>Google AIML SWE</t>
        </is>
      </c>
      <c r="J819" t="inlineStr">
        <is>
          <t>google_product_ai_mainline</t>
        </is>
      </c>
      <c r="K819" t="inlineStr">
        <is>
          <t>mainline</t>
        </is>
      </c>
      <c r="L819"/>
      <c r="M819"/>
      <c r="N819">
        <v>93.9</v>
      </c>
      <c r="O819" t="inlineStr">
        <is>
          <t>pass</t>
        </is>
      </c>
      <c r="P819">
        <f>HYPERLINK("file:///Users/jingyizhang/Documents/Playground/projects/local_job_resume_pipeline/data/deliverables/resume_portfolio/by_company/general-motors/2026-04-02/69cee70954f00230c6d04ba2/resume.md","/Users/jingyizhang/Documents/Playground/projects/local_job_resume_pipeline/data/deliverables/resume_portfolio/by_company/general-motors/2026-04-02/69cee70954f00230c6d04ba2/resume.md")</f>
      </c>
      <c r="Q819"/>
      <c r="R819">
        <f>HYPERLINK("https://generalmotors.wd5.myworkdayjobs.com/Careers_GM/job/Sunnyvale-California-United-States-of-America/Software-Engineer---Autonomy-Evaluation_JR-202607794?source=LinkedIn","https://generalmotors.wd5.myworkdayjobs.com/Careers_GM/job/Sunnyvale-California-United-States-of-America/Software-Engineer---Autonomy-Evaluation_JR-202607794?source=LinkedIn")</f>
      </c>
    </row>
    <row r="820">
      <c r="A820" t="inlineStr">
        <is>
          <t>Cantina Labs</t>
        </is>
      </c>
      <c r="B820" t="inlineStr">
        <is>
          <t>2026-04-02 16:59:30</t>
        </is>
      </c>
      <c r="C820" t="inlineStr">
        <is>
          <t>69cee6c254f00230c6d04a68</t>
        </is>
      </c>
      <c r="D820" t="inlineStr">
        <is>
          <t>Applied ML Engineer, Data</t>
        </is>
      </c>
      <c r="E820" t="inlineStr">
        <is>
          <t>1_Discovered</t>
        </is>
      </c>
      <c r="F820" t="inlineStr">
        <is>
          <t>fanout_batch</t>
        </is>
      </c>
      <c r="G820" t="inlineStr">
        <is>
          <t>reuse</t>
        </is>
      </c>
      <c r="H820" t="inlineStr">
        <is>
          <t>seed_bytedance_ml_grad</t>
        </is>
      </c>
      <c r="I820" t="inlineStr">
        <is>
          <t>ByteDance ML Grad</t>
        </is>
      </c>
      <c r="J820"/>
      <c r="K820"/>
      <c r="L820"/>
      <c r="M820"/>
      <c r="N820"/>
      <c r="O820"/>
      <c r="P820"/>
      <c r="Q820"/>
      <c r="R820">
        <f>HYPERLINK("https://jobs.ashbyhq.com/cantina/1d9bb30d-3d94-47b1-bff7-a0588741efab?src=LinkedIn","https://jobs.ashbyhq.com/cantina/1d9bb30d-3d94-47b1-bff7-a0588741efab?src=LinkedIn")</f>
      </c>
    </row>
    <row r="821">
      <c r="A821" t="inlineStr">
        <is>
          <t>Cloud Resources LLC</t>
        </is>
      </c>
      <c r="B821" t="inlineStr">
        <is>
          <t>2026-04-02 16:58:10</t>
        </is>
      </c>
      <c r="C821" t="inlineStr">
        <is>
          <t>69cf0660398fb071abf8baf4</t>
        </is>
      </c>
      <c r="D821" t="inlineStr">
        <is>
          <t>Data Engineer(W2)</t>
        </is>
      </c>
      <c r="E821" t="inlineStr">
        <is>
          <t>1_Discovered</t>
        </is>
      </c>
      <c r="F821" t="inlineStr">
        <is>
          <t>fanout_batch</t>
        </is>
      </c>
      <c r="G821" t="inlineStr">
        <is>
          <t>retarget</t>
        </is>
      </c>
      <c r="H821" t="inlineStr">
        <is>
          <t>seed_qualified_health_data_engineer</t>
        </is>
      </c>
      <c r="I821" t="inlineStr">
        <is>
          <t>Qualified Health Data Engineer</t>
        </is>
      </c>
      <c r="J821"/>
      <c r="K821"/>
      <c r="L821"/>
      <c r="M821"/>
      <c r="N821">
        <v>70.2</v>
      </c>
      <c r="O821" t="inlineStr">
        <is>
          <t>fail</t>
        </is>
      </c>
      <c r="P821">
        <f>HYPERLINK("file:///Users/jingyizhang/Documents/Playground/projects/local_job_resume_pipeline/data/deliverables/resume_portfolio/by_company/cloud-resources-llc/2026-04-02/69cf0660398fb071abf8baf4/resume.md","/Users/jingyizhang/Documents/Playground/projects/local_job_resume_pipeline/data/deliverables/resume_portfolio/by_company/cloud-resources-llc/2026-04-02/69cf0660398fb071abf8baf4/resume.md")</f>
      </c>
      <c r="Q821"/>
      <c r="R821">
        <f>HYPERLINK("https://www.linkedin.com/jobs/view/4395710887","https://www.linkedin.com/jobs/view/4395710887")</f>
      </c>
    </row>
    <row r="822">
      <c r="A822" t="inlineStr">
        <is>
          <t>Thomson Reuters</t>
        </is>
      </c>
      <c r="B822" t="inlineStr">
        <is>
          <t>2026-04-02 16:48:14</t>
        </is>
      </c>
      <c r="C822" t="inlineStr">
        <is>
          <t>69cee41e54f00230c6d047c8</t>
        </is>
      </c>
      <c r="D822" t="inlineStr">
        <is>
          <t>Senior Software Engineer, Full Stack</t>
        </is>
      </c>
      <c r="E822" t="inlineStr">
        <is>
          <t>1_Discovered</t>
        </is>
      </c>
      <c r="F822" t="inlineStr">
        <is>
          <t>fanout_batch</t>
        </is>
      </c>
      <c r="G822" t="inlineStr">
        <is>
          <t>retarget</t>
        </is>
      </c>
      <c r="H822" t="inlineStr">
        <is>
          <t>seed_egen_fullstack_node</t>
        </is>
      </c>
      <c r="I822" t="inlineStr">
        <is>
          <t>Egen Fullstack Node</t>
        </is>
      </c>
      <c r="J822"/>
      <c r="K822"/>
      <c r="L822"/>
      <c r="M822"/>
      <c r="N822">
        <v>95.1</v>
      </c>
      <c r="O822" t="inlineStr">
        <is>
          <t>pass</t>
        </is>
      </c>
      <c r="P822">
        <f>HYPERLINK("file:///Users/jingyizhang/Documents/Playground/projects/local_job_resume_pipeline/data/deliverables/resume_portfolio/by_company/thomson-reuters/2026-04-02/69cee41e54f00230c6d047c8/resume.md","/Users/jingyizhang/Documents/Playground/projects/local_job_resume_pipeline/data/deliverables/resume_portfolio/by_company/thomson-reuters/2026-04-02/69cee41e54f00230c6d047c8/resume.md")</f>
      </c>
      <c r="Q822"/>
      <c r="R822">
        <f>HYPERLINK("https://thomsonreuters.wd5.myworkdayjobs.com/External_Career_Site/job/United-States-of-America-New-York-New-York/Senior-Software-Engineer--Full-Stack_JREQ199749-1","https://thomsonreuters.wd5.myworkdayjobs.com/External_Career_Site/job/United-States-of-America-New-York-New-York/Senior-Software-Engineer--Full-Stack_JREQ199749-1")</f>
      </c>
    </row>
    <row r="823">
      <c r="A823" t="inlineStr">
        <is>
          <t>Wellington Management</t>
        </is>
      </c>
      <c r="B823" t="inlineStr">
        <is>
          <t>2026-04-02 16:43:46</t>
        </is>
      </c>
      <c r="C823" t="inlineStr">
        <is>
          <t>69cee312366bb95ba5510a90</t>
        </is>
      </c>
      <c r="D823" t="inlineStr">
        <is>
          <t>Software Engineer</t>
        </is>
      </c>
      <c r="E823" t="inlineStr">
        <is>
          <t>1_Discovered</t>
        </is>
      </c>
      <c r="F823" t="inlineStr">
        <is>
          <t>fanout_batch</t>
        </is>
      </c>
      <c r="G823" t="inlineStr">
        <is>
          <t>retarget</t>
        </is>
      </c>
      <c r="H823" t="inlineStr">
        <is>
          <t>seed_paypal_java_backend</t>
        </is>
      </c>
      <c r="I823" t="inlineStr">
        <is>
          <t>PayPal Java Backend</t>
        </is>
      </c>
      <c r="J823"/>
      <c r="K823"/>
      <c r="L823"/>
      <c r="M823"/>
      <c r="N823">
        <v>87.9</v>
      </c>
      <c r="O823" t="inlineStr">
        <is>
          <t>fail</t>
        </is>
      </c>
      <c r="P823">
        <f>HYPERLINK("file:///Users/jingyizhang/Documents/Playground/projects/local_job_resume_pipeline/data/deliverables/resume_portfolio/by_company/wellington-management/2026-04-02/69cee312366bb95ba5510a90/resume.md","/Users/jingyizhang/Documents/Playground/projects/local_job_resume_pipeline/data/deliverables/resume_portfolio/by_company/wellington-management/2026-04-02/69cee312366bb95ba5510a90/resume.md")</f>
      </c>
      <c r="Q823"/>
      <c r="R823">
        <f>HYPERLINK("https://wellington.wd5.myworkdayjobs.com/External/job/Needham/Software-Engineer_R93921-1?source=LinkedIn","https://wellington.wd5.myworkdayjobs.com/External/job/Needham/Software-Engineer_R93921-1?source=LinkedIn")</f>
      </c>
    </row>
    <row r="824">
      <c r="A824" t="inlineStr">
        <is>
          <t>PayPal</t>
        </is>
      </c>
      <c r="B824" t="inlineStr">
        <is>
          <t>2026-04-02 16:37:31</t>
        </is>
      </c>
      <c r="C824" t="inlineStr">
        <is>
          <t>69cee19b54f00230c6d04583</t>
        </is>
      </c>
      <c r="D824" t="inlineStr">
        <is>
          <t>Software Engineer - SDET</t>
        </is>
      </c>
      <c r="E824" t="inlineStr">
        <is>
          <t>1_Discovered</t>
        </is>
      </c>
      <c r="F824" t="inlineStr">
        <is>
          <t>fanout_batch</t>
        </is>
      </c>
      <c r="G824" t="inlineStr">
        <is>
          <t>reuse</t>
        </is>
      </c>
      <c r="H824" t="inlineStr">
        <is>
          <t>seed_paypal_java_backend</t>
        </is>
      </c>
      <c r="I824" t="inlineStr">
        <is>
          <t>PayPal Java Backend</t>
        </is>
      </c>
      <c r="J824"/>
      <c r="K824"/>
      <c r="L824"/>
      <c r="M824"/>
      <c r="N824"/>
      <c r="O824"/>
      <c r="P824"/>
      <c r="Q824"/>
      <c r="R824">
        <f>HYPERLINK("https://paypal.eightfold.ai/careers?domain=paypal.com&amp;sort_by=relevance&amp;query=R0134671&amp;Codes=W-LINKEDIN","https://paypal.eightfold.ai/careers?domain=paypal.com&amp;sort_by=relevance&amp;query=R0134671&amp;Codes=W-LINKEDIN")</f>
      </c>
    </row>
    <row r="825">
      <c r="A825" t="inlineStr">
        <is>
          <t>Venmo</t>
        </is>
      </c>
      <c r="B825" t="inlineStr">
        <is>
          <t>2026-04-02 16:37:25</t>
        </is>
      </c>
      <c r="C825" t="inlineStr">
        <is>
          <t>69cee195cdb525785fb9c95b</t>
        </is>
      </c>
      <c r="D825" t="inlineStr">
        <is>
          <t>Senior Software Engineer in Test - Mobile</t>
        </is>
      </c>
      <c r="E825" t="inlineStr">
        <is>
          <t>1_Discovered</t>
        </is>
      </c>
      <c r="F825" t="inlineStr">
        <is>
          <t>fanout_batch</t>
        </is>
      </c>
      <c r="G825" t="inlineStr">
        <is>
          <t>retarget</t>
        </is>
      </c>
      <c r="H825" t="inlineStr">
        <is>
          <t>seed_magnite_sdet</t>
        </is>
      </c>
      <c r="I825" t="inlineStr">
        <is>
          <t>Magnite SDET</t>
        </is>
      </c>
      <c r="J825"/>
      <c r="K825"/>
      <c r="L825"/>
      <c r="M825"/>
      <c r="N825">
        <v>93.9</v>
      </c>
      <c r="O825" t="inlineStr">
        <is>
          <t>pass</t>
        </is>
      </c>
      <c r="P825">
        <f>HYPERLINK("file:///Users/jingyizhang/Documents/Playground/projects/local_job_resume_pipeline/data/deliverables/resume_portfolio/by_company/venmo/2026-04-02/69cee195cdb525785fb9c95b/resume.md","/Users/jingyizhang/Documents/Playground/projects/local_job_resume_pipeline/data/deliverables/resume_portfolio/by_company/venmo/2026-04-02/69cee195cdb525785fb9c95b/resume.md")</f>
      </c>
      <c r="Q825"/>
      <c r="R825">
        <f>HYPERLINK("https://paypal.eightfold.ai/careers?domain=paypal.com&amp;sort_by=relevance&amp;query=R0135258&amp;Codes=W-LINKEDIN","https://paypal.eightfold.ai/careers?domain=paypal.com&amp;sort_by=relevance&amp;query=R0135258&amp;Codes=W-LINKEDIN")</f>
      </c>
    </row>
    <row r="826">
      <c r="A826" t="inlineStr">
        <is>
          <t>Charles Schwab</t>
        </is>
      </c>
      <c r="B826" t="inlineStr">
        <is>
          <t>2026-04-02 16:37:22</t>
        </is>
      </c>
      <c r="C826" t="inlineStr">
        <is>
          <t>69cee192cfdc6132f942d759</t>
        </is>
      </c>
      <c r="D826" t="inlineStr">
        <is>
          <t>Cloud Data Platform Engineer</t>
        </is>
      </c>
      <c r="E826" t="inlineStr">
        <is>
          <t>1_Discovered</t>
        </is>
      </c>
      <c r="F826" t="inlineStr">
        <is>
          <t>fanout_batch</t>
        </is>
      </c>
      <c r="G826" t="inlineStr">
        <is>
          <t>retarget</t>
        </is>
      </c>
      <c r="H826" t="inlineStr">
        <is>
          <t>seed_qualified_health_data_engineer</t>
        </is>
      </c>
      <c r="I826" t="inlineStr">
        <is>
          <t>Qualified Health Data Engineer</t>
        </is>
      </c>
      <c r="J826"/>
      <c r="K826"/>
      <c r="L826"/>
      <c r="M826"/>
      <c r="N826">
        <v>90.0</v>
      </c>
      <c r="O826" t="inlineStr">
        <is>
          <t>conditional_pass</t>
        </is>
      </c>
      <c r="P826">
        <f>HYPERLINK("file:///Users/jingyizhang/Documents/Playground/projects/local_job_resume_pipeline/data/deliverables/resume_portfolio/by_company/charles-schwab/2026-04-02/69cee192cfdc6132f942d759/resume.md","/Users/jingyizhang/Documents/Playground/projects/local_job_resume_pipeline/data/deliverables/resume_portfolio/by_company/charles-schwab/2026-04-02/69cee192cfdc6132f942d759/resume.md")</f>
      </c>
      <c r="Q826"/>
      <c r="R826">
        <f>HYPERLINK("https://career-schwab.icims.com/jobs/120654/cloud-data-platform-engineer/job?in_iframe=1","https://career-schwab.icims.com/jobs/120654/cloud-data-platform-engineer/job?in_iframe=1")</f>
      </c>
    </row>
    <row r="827">
      <c r="A827" t="inlineStr">
        <is>
          <t>TEK Analytics</t>
        </is>
      </c>
      <c r="B827" t="inlineStr">
        <is>
          <t>2026-04-02 16:35:59</t>
        </is>
      </c>
      <c r="C827" t="inlineStr">
        <is>
          <t>69cee13fcfdc6132f942d5be</t>
        </is>
      </c>
      <c r="D827" t="inlineStr">
        <is>
          <t>Software Engineer III</t>
        </is>
      </c>
      <c r="E827" t="inlineStr">
        <is>
          <t>1_Discovered</t>
        </is>
      </c>
      <c r="F827" t="inlineStr">
        <is>
          <t>fanout_batch</t>
        </is>
      </c>
      <c r="G827" t="inlineStr">
        <is>
          <t>reuse</t>
        </is>
      </c>
      <c r="H827" t="inlineStr">
        <is>
          <t>seed_codex_amazon_sde</t>
        </is>
      </c>
      <c r="I827" t="inlineStr">
        <is>
          <t>Amazon SDE</t>
        </is>
      </c>
      <c r="J827" t="inlineStr">
        <is>
          <t>amazon_platform_mainline</t>
        </is>
      </c>
      <c r="K827" t="inlineStr">
        <is>
          <t>mainline</t>
        </is>
      </c>
      <c r="L827"/>
      <c r="M827"/>
      <c r="N827"/>
      <c r="O827"/>
      <c r="P827"/>
      <c r="Q827"/>
      <c r="R827">
        <f>HYPERLINK("https://fa-ewmy-saasfaprod1.fa.ocs.oraclecloud.com/hcmUI/CandidateExperience/en/sites/CX/job/3523","https://fa-ewmy-saasfaprod1.fa.ocs.oraclecloud.com/hcmUI/CandidateExperience/en/sites/CX/job/3523")</f>
      </c>
    </row>
    <row r="828">
      <c r="A828" t="inlineStr">
        <is>
          <t>JPMorganChase</t>
        </is>
      </c>
      <c r="B828" t="inlineStr">
        <is>
          <t>2026-04-02 16:35:56</t>
        </is>
      </c>
      <c r="C828" t="inlineStr">
        <is>
          <t>69cee13c891d7b11cfccdb84</t>
        </is>
      </c>
      <c r="D828" t="inlineStr">
        <is>
          <t>Software Engineer II - QA Automation</t>
        </is>
      </c>
      <c r="E828" t="inlineStr">
        <is>
          <t>1_Discovered</t>
        </is>
      </c>
      <c r="F828" t="inlineStr">
        <is>
          <t>fanout_batch</t>
        </is>
      </c>
      <c r="G828" t="inlineStr">
        <is>
          <t>retarget</t>
        </is>
      </c>
      <c r="H828" t="inlineStr">
        <is>
          <t>seed_magnite_sdet</t>
        </is>
      </c>
      <c r="I828" t="inlineStr">
        <is>
          <t>Magnite SDET</t>
        </is>
      </c>
      <c r="J828"/>
      <c r="K828"/>
      <c r="L828"/>
      <c r="M828"/>
      <c r="N828">
        <v>93.8</v>
      </c>
      <c r="O828" t="inlineStr">
        <is>
          <t>pass</t>
        </is>
      </c>
      <c r="P828">
        <f>HYPERLINK("file:///Users/jingyizhang/Documents/Playground/projects/local_job_resume_pipeline/data/deliverables/resume_portfolio/by_company/jpmorganchase/2026-04-02/69cee13c891d7b11cfccdb84/resume.md","/Users/jingyizhang/Documents/Playground/projects/local_job_resume_pipeline/data/deliverables/resume_portfolio/by_company/jpmorganchase/2026-04-02/69cee13c891d7b11cfccdb84/resume.md")</f>
      </c>
      <c r="Q828"/>
      <c r="R828">
        <f>HYPERLINK("https://jpmc.fa.oraclecloud.com/hcmUI/CandidateExperience/en/sites/CX_1001/job/210690683","https://jpmc.fa.oraclecloud.com/hcmUI/CandidateExperience/en/sites/CX_1001/job/210690683")</f>
      </c>
    </row>
    <row r="829">
      <c r="A829" t="inlineStr">
        <is>
          <t>KPMG US</t>
        </is>
      </c>
      <c r="B829" t="inlineStr">
        <is>
          <t>2026-04-02 16:35:41</t>
        </is>
      </c>
      <c r="C829" t="inlineStr">
        <is>
          <t>69cee12dcdb525785fb9c778</t>
        </is>
      </c>
      <c r="D829" t="inlineStr">
        <is>
          <t>AI Engineer- Senior Associate</t>
        </is>
      </c>
      <c r="E829" t="inlineStr">
        <is>
          <t>1_Discovered</t>
        </is>
      </c>
      <c r="F829" t="inlineStr">
        <is>
          <t>fanout_batch</t>
        </is>
      </c>
      <c r="G829" t="inlineStr">
        <is>
          <t>retarget</t>
        </is>
      </c>
      <c r="H829" t="inlineStr">
        <is>
          <t>seed_h2o_ai_engineer</t>
        </is>
      </c>
      <c r="I829" t="inlineStr">
        <is>
          <t>H2O AI Engineer</t>
        </is>
      </c>
      <c r="J829"/>
      <c r="K829"/>
      <c r="L829"/>
      <c r="M829"/>
      <c r="N829">
        <v>78.1</v>
      </c>
      <c r="O829" t="inlineStr">
        <is>
          <t>fail</t>
        </is>
      </c>
      <c r="P829">
        <f>HYPERLINK("file:///Users/jingyizhang/Documents/Playground/projects/local_job_resume_pipeline/data/deliverables/resume_portfolio/by_company/kpmg-us/2026-04-02/69cee12dcdb525785fb9c778/resume.md","/Users/jingyizhang/Documents/Playground/projects/local_job_resume_pipeline/data/deliverables/resume_portfolio/by_company/kpmg-us/2026-04-02/69cee12dcdb525785fb9c778/resume.md")</f>
      </c>
      <c r="Q829"/>
      <c r="R829">
        <f>HYPERLINK("https://www.kpmguscareers.com/jobdetail/?jobId=128733&amp;srcCat=Job+Boards&amp;specSrc=LinkedIn","https://www.kpmguscareers.com/jobdetail/?jobId=128733&amp;srcCat=Job+Boards&amp;specSrc=LinkedIn")</f>
      </c>
    </row>
    <row r="830">
      <c r="A830" t="inlineStr">
        <is>
          <t>JPMorganChase</t>
        </is>
      </c>
      <c r="B830" t="inlineStr">
        <is>
          <t>2026-04-02 16:35:36</t>
        </is>
      </c>
      <c r="C830" t="inlineStr">
        <is>
          <t>69cee12854f00230c6d04385</t>
        </is>
      </c>
      <c r="D830" t="inlineStr">
        <is>
          <t>Software Engineer III - QA Automation</t>
        </is>
      </c>
      <c r="E830" t="inlineStr">
        <is>
          <t>1_Discovered</t>
        </is>
      </c>
      <c r="F830" t="inlineStr">
        <is>
          <t>fanout_batch</t>
        </is>
      </c>
      <c r="G830" t="inlineStr">
        <is>
          <t>retarget</t>
        </is>
      </c>
      <c r="H830" t="inlineStr">
        <is>
          <t>seed_magnite_sdet</t>
        </is>
      </c>
      <c r="I830" t="inlineStr">
        <is>
          <t>Magnite SDET</t>
        </is>
      </c>
      <c r="J830"/>
      <c r="K830"/>
      <c r="L830"/>
      <c r="M830"/>
      <c r="N830">
        <v>94.0</v>
      </c>
      <c r="O830" t="inlineStr">
        <is>
          <t>pass</t>
        </is>
      </c>
      <c r="P830">
        <f>HYPERLINK("file:///Users/jingyizhang/Documents/Playground/projects/local_job_resume_pipeline/data/deliverables/resume_portfolio/by_company/jpmorganchase/2026-04-02/69cee12854f00230c6d04385/resume.md","/Users/jingyizhang/Documents/Playground/projects/local_job_resume_pipeline/data/deliverables/resume_portfolio/by_company/jpmorganchase/2026-04-02/69cee12854f00230c6d04385/resume.md")</f>
      </c>
      <c r="Q830"/>
      <c r="R830">
        <f>HYPERLINK("https://jpmc.fa.oraclecloud.com/hcmUI/CandidateExperience/en/sites/CX_1001/job/210690664","https://jpmc.fa.oraclecloud.com/hcmUI/CandidateExperience/en/sites/CX_1001/job/210690664")</f>
      </c>
    </row>
    <row r="831">
      <c r="A831" t="inlineStr">
        <is>
          <t>Expedia Group</t>
        </is>
      </c>
      <c r="B831" t="inlineStr">
        <is>
          <t>2026-04-02 16:35:01</t>
        </is>
      </c>
      <c r="C831" t="inlineStr">
        <is>
          <t>69cee105cdb525785fb9c6c2</t>
        </is>
      </c>
      <c r="D831" t="inlineStr">
        <is>
          <t>Software Development Engineer II, Loyalty - Full Stack</t>
        </is>
      </c>
      <c r="E831" t="inlineStr">
        <is>
          <t>1_Discovered</t>
        </is>
      </c>
      <c r="F831" t="inlineStr">
        <is>
          <t>fanout_batch</t>
        </is>
      </c>
      <c r="G831" t="inlineStr">
        <is>
          <t>reuse</t>
        </is>
      </c>
      <c r="H831" t="inlineStr">
        <is>
          <t>seed_egen_fullstack_node</t>
        </is>
      </c>
      <c r="I831" t="inlineStr">
        <is>
          <t>Egen Fullstack Node</t>
        </is>
      </c>
      <c r="J831"/>
      <c r="K831"/>
      <c r="L831"/>
      <c r="M831"/>
      <c r="N831"/>
      <c r="O831"/>
      <c r="P831"/>
      <c r="Q831"/>
      <c r="R831">
        <f>HYPERLINK("https://expedia.wd108.myworkdayjobs.com/search/job/USA---California---San-Jose/Software-Development-Engineer-II--Loyalty---Full-Stack--_R-101814-1","https://expedia.wd108.myworkdayjobs.com/search/job/USA---California---San-Jose/Software-Development-Engineer-II--Loyalty---Full-Stack--_R-101814-1")</f>
      </c>
    </row>
    <row r="832">
      <c r="A832" t="inlineStr">
        <is>
          <t>O3 Technology Solutions</t>
        </is>
      </c>
      <c r="B832" t="inlineStr">
        <is>
          <t>2026-04-02 16:31:55</t>
        </is>
      </c>
      <c r="C832" t="inlineStr">
        <is>
          <t>69ceff69398fb071abf8b8c4</t>
        </is>
      </c>
      <c r="D832" t="inlineStr">
        <is>
          <t>Co-Pilot Engineer</t>
        </is>
      </c>
      <c r="E832" t="inlineStr">
        <is>
          <t>1_Discovered</t>
        </is>
      </c>
      <c r="F832" t="inlineStr">
        <is>
          <t>fanout_batch</t>
        </is>
      </c>
      <c r="G832" t="inlineStr">
        <is>
          <t>retarget</t>
        </is>
      </c>
      <c r="H832" t="inlineStr">
        <is>
          <t>seed_linkedin_mle_foundation</t>
        </is>
      </c>
      <c r="I832" t="inlineStr">
        <is>
          <t>LinkedIn MLE Foundation</t>
        </is>
      </c>
      <c r="J832"/>
      <c r="K832"/>
      <c r="L832"/>
      <c r="M832"/>
      <c r="N832">
        <v>86.0</v>
      </c>
      <c r="O832" t="inlineStr">
        <is>
          <t>fail</t>
        </is>
      </c>
      <c r="P832">
        <f>HYPERLINK("file:///Users/jingyizhang/Documents/Playground/projects/local_job_resume_pipeline/data/deliverables/resume_portfolio/by_company/o3-technology-solutions/2026-04-02/69ceff69398fb071abf8b8c4/resume.md","/Users/jingyizhang/Documents/Playground/projects/local_job_resume_pipeline/data/deliverables/resume_portfolio/by_company/o3-technology-solutions/2026-04-02/69ceff69398fb071abf8b8c4/resume.md")</f>
      </c>
      <c r="Q832"/>
      <c r="R832">
        <f>HYPERLINK("https://www.linkedin.com/jobs/view/4395723067","https://www.linkedin.com/jobs/view/4395723067")</f>
      </c>
    </row>
    <row r="833">
      <c r="A833" t="inlineStr">
        <is>
          <t>NV Energy</t>
        </is>
      </c>
      <c r="B833" t="inlineStr">
        <is>
          <t>2026-04-02 16:24:23</t>
        </is>
      </c>
      <c r="C833" t="inlineStr">
        <is>
          <t>69ceeb16398fb071abf8ab1e</t>
        </is>
      </c>
      <c r="D833" t="inlineStr">
        <is>
          <t>Software Engineer 2</t>
        </is>
      </c>
      <c r="E833" t="inlineStr">
        <is>
          <t>1_Discovered</t>
        </is>
      </c>
      <c r="F833" t="inlineStr">
        <is>
          <t>seed_validation</t>
        </is>
      </c>
      <c r="G833" t="inlineStr">
        <is>
          <t>reuse</t>
        </is>
      </c>
      <c r="H833" t="inlineStr">
        <is>
          <t>seed_amazon_conversational_ads_backend</t>
        </is>
      </c>
      <c r="I833" t="inlineStr">
        <is>
          <t>Amazon Conversational Ads Backend</t>
        </is>
      </c>
      <c r="J833" t="inlineStr">
        <is>
          <t>amazon_ai_ads_mainline</t>
        </is>
      </c>
      <c r="K833" t="inlineStr">
        <is>
          <t>mainline</t>
        </is>
      </c>
      <c r="L833"/>
      <c r="M833"/>
      <c r="N833"/>
      <c r="O833"/>
      <c r="P833"/>
      <c r="Q833"/>
      <c r="R833">
        <f>HYPERLINK("https://fa-essf-saasfaprod1.fa.ocs.oraclecloud.com/hcmUI/CandidateExperience/en/sites/CX_1/job/10004601","https://fa-essf-saasfaprod1.fa.ocs.oraclecloud.com/hcmUI/CandidateExperience/en/sites/CX_1/job/10004601")</f>
      </c>
    </row>
    <row r="834">
      <c r="A834" t="inlineStr">
        <is>
          <t>Infinite Computer Solutions</t>
        </is>
      </c>
      <c r="B834" t="inlineStr">
        <is>
          <t>2026-04-02 16:24:11</t>
        </is>
      </c>
      <c r="C834" t="inlineStr">
        <is>
          <t>69cede7bcfdc6132f942d3fd</t>
        </is>
      </c>
      <c r="D834" t="inlineStr">
        <is>
          <t>Salesforce Developer</t>
        </is>
      </c>
      <c r="E834" t="inlineStr">
        <is>
          <t>1_Discovered</t>
        </is>
      </c>
      <c r="F834" t="inlineStr">
        <is>
          <t>seed_validation</t>
        </is>
      </c>
      <c r="G834" t="inlineStr">
        <is>
          <t>reuse</t>
        </is>
      </c>
      <c r="H834" t="inlineStr">
        <is>
          <t>seed_zip_backend_web</t>
        </is>
      </c>
      <c r="I834" t="inlineStr">
        <is>
          <t>Zip Backend Web</t>
        </is>
      </c>
      <c r="J834"/>
      <c r="K834"/>
      <c r="L834"/>
      <c r="M834"/>
      <c r="N834"/>
      <c r="O834"/>
      <c r="P834"/>
      <c r="Q834"/>
      <c r="R834">
        <f>HYPERLINK("https://www.linkedin.com/jobs/view/4393819352","https://www.linkedin.com/jobs/view/4393819352")</f>
      </c>
    </row>
    <row r="835">
      <c r="A835" t="inlineStr">
        <is>
          <t>Yamaha Motor Corporation, USA</t>
        </is>
      </c>
      <c r="B835" t="inlineStr">
        <is>
          <t>2026-04-02 16:22:15</t>
        </is>
      </c>
      <c r="C835" t="inlineStr">
        <is>
          <t>69cede07cdb525785fb9c5ee</t>
        </is>
      </c>
      <c r="D835" t="inlineStr">
        <is>
          <t>Digital Data Analyst</t>
        </is>
      </c>
      <c r="E835" t="inlineStr">
        <is>
          <t>1_Discovered</t>
        </is>
      </c>
      <c r="F835" t="inlineStr">
        <is>
          <t>fanout_batch</t>
        </is>
      </c>
      <c r="G835" t="inlineStr">
        <is>
          <t>retarget</t>
        </is>
      </c>
      <c r="H835" t="inlineStr">
        <is>
          <t>seed_qualified_health_data_engineer</t>
        </is>
      </c>
      <c r="I835" t="inlineStr">
        <is>
          <t>Qualified Health Data Engineer</t>
        </is>
      </c>
      <c r="J835"/>
      <c r="K835"/>
      <c r="L835"/>
      <c r="M835"/>
      <c r="N835">
        <v>95.2</v>
      </c>
      <c r="O835" t="inlineStr">
        <is>
          <t>pass</t>
        </is>
      </c>
      <c r="P835">
        <f>HYPERLINK("file:///Users/jingyizhang/Documents/Playground/projects/local_job_resume_pipeline/data/deliverables/resume_portfolio/by_company/yamaha-motor-corporation-usa/2026-04-02/69cede07cdb525785fb9c5ee/resume.md","/Users/jingyizhang/Documents/Playground/projects/local_job_resume_pipeline/data/deliverables/resume_portfolio/by_company/yamaha-motor-corporation-usa/2026-04-02/69cede07cdb525785fb9c5ee/resume.md")</f>
      </c>
      <c r="Q835"/>
      <c r="R835">
        <f>HYPERLINK("https://careers.yamaha-motor.com/search/jobdetails/digital-data-analyst/c7bf0c72-c141-4eae-82f0-af49a531f447?utm_source=linkedin&amp;utm_campaign=linkedin","https://careers.yamaha-motor.com/search/jobdetails/digital-data-analyst/c7bf0c72-c141-4eae-82f0-af49a531f447?utm_source=linkedin&amp;utm_campaign=linkedin")</f>
      </c>
    </row>
    <row r="836">
      <c r="A836" t="inlineStr">
        <is>
          <t>WealthCounsel, LLC</t>
        </is>
      </c>
      <c r="B836" t="inlineStr">
        <is>
          <t>2026-04-02 16:22:06</t>
        </is>
      </c>
      <c r="C836" t="inlineStr">
        <is>
          <t>69ceddfecdb525785fb9c5e2</t>
        </is>
      </c>
      <c r="D836" t="inlineStr">
        <is>
          <t>Junior Software Developer (Virtual, Full Time)</t>
        </is>
      </c>
      <c r="E836" t="inlineStr">
        <is>
          <t>1_Discovered</t>
        </is>
      </c>
      <c r="F836" t="inlineStr">
        <is>
          <t>fanout_batch</t>
        </is>
      </c>
      <c r="G836" t="inlineStr">
        <is>
          <t>retarget</t>
        </is>
      </c>
      <c r="H836" t="inlineStr">
        <is>
          <t>seed_egen_fullstack_node</t>
        </is>
      </c>
      <c r="I836" t="inlineStr">
        <is>
          <t>Egen Fullstack Node</t>
        </is>
      </c>
      <c r="J836"/>
      <c r="K836"/>
      <c r="L836"/>
      <c r="M836"/>
      <c r="N836">
        <v>95.0</v>
      </c>
      <c r="O836" t="inlineStr">
        <is>
          <t>pass</t>
        </is>
      </c>
      <c r="P836">
        <f>HYPERLINK("file:///Users/jingyizhang/Documents/Playground/projects/local_job_resume_pipeline/data/deliverables/resume_portfolio/by_company/wealthcounsel-llc/2026-04-02/69ceddfecdb525785fb9c5e2/resume.md","/Users/jingyizhang/Documents/Playground/projects/local_job_resume_pipeline/data/deliverables/resume_portfolio/by_company/wealthcounsel-llc/2026-04-02/69ceddfecdb525785fb9c5e2/resume.md")</f>
      </c>
      <c r="Q836"/>
      <c r="R836">
        <f>HYPERLINK("https://wealthcounsel-llc.gnahiring.com/job/1011837/junior-software-developer-virtual-full-time?d=2026-04-02+19%3A29%3A42+UTC&amp;s=lif","https://wealthcounsel-llc.gnahiring.com/job/1011837/junior-software-developer-virtual-full-time?d=2026-04-02+19%3A29%3A42+UTC&amp;s=lif")</f>
      </c>
    </row>
    <row r="837">
      <c r="A837" t="inlineStr">
        <is>
          <t>Qualitest</t>
        </is>
      </c>
      <c r="B837" t="inlineStr">
        <is>
          <t>2026-04-02 16:19:20</t>
        </is>
      </c>
      <c r="C837" t="inlineStr">
        <is>
          <t>69cedd5854f00230c6d0416e</t>
        </is>
      </c>
      <c r="D837" t="inlineStr">
        <is>
          <t>Fullstack/ Backend Engineer</t>
        </is>
      </c>
      <c r="E837" t="inlineStr">
        <is>
          <t>1_Discovered</t>
        </is>
      </c>
      <c r="F837" t="inlineStr">
        <is>
          <t>fanout_batch</t>
        </is>
      </c>
      <c r="G837" t="inlineStr">
        <is>
          <t>retarget</t>
        </is>
      </c>
      <c r="H837" t="inlineStr">
        <is>
          <t>seed_codex_amazon_sde</t>
        </is>
      </c>
      <c r="I837" t="inlineStr">
        <is>
          <t>Amazon SDE</t>
        </is>
      </c>
      <c r="J837" t="inlineStr">
        <is>
          <t>amazon_platform_mainline</t>
        </is>
      </c>
      <c r="K837" t="inlineStr">
        <is>
          <t>mainline</t>
        </is>
      </c>
      <c r="L837"/>
      <c r="M837"/>
      <c r="N837">
        <v>93.7</v>
      </c>
      <c r="O837" t="inlineStr">
        <is>
          <t>pass</t>
        </is>
      </c>
      <c r="P837">
        <f>HYPERLINK("file:///Users/jingyizhang/Documents/Playground/projects/local_job_resume_pipeline/data/deliverables/resume_portfolio/by_company/qualitest/2026-04-02/69cedd5854f00230c6d0416e/resume.md","/Users/jingyizhang/Documents/Playground/projects/local_job_resume_pipeline/data/deliverables/resume_portfolio/by_company/qualitest/2026-04-02/69cedd5854f00230c6d0416e/resume.md")</f>
      </c>
      <c r="Q837"/>
      <c r="R837">
        <f>HYPERLINK("https://careers.qualitestgroup.com/job/Santa-Clara-Fullstack-Backend-Engineer-CA-95054/54596544/?utm_source=LINKEDIN&amp;utm_medium=referrer","https://careers.qualitestgroup.com/job/Santa-Clara-Fullstack-Backend-Engineer-CA-95054/54596544/?utm_source=LINKEDIN&amp;utm_medium=referrer")</f>
      </c>
    </row>
    <row r="838">
      <c r="A838" t="inlineStr">
        <is>
          <t>Sleeper</t>
        </is>
      </c>
      <c r="B838" t="inlineStr">
        <is>
          <t>2026-04-02 16:18:39</t>
        </is>
      </c>
      <c r="C838" t="inlineStr">
        <is>
          <t>69cedd2f891d7b11cfccd910</t>
        </is>
      </c>
      <c r="D838" t="inlineStr">
        <is>
          <t>Data Scientist- Platform Integrity</t>
        </is>
      </c>
      <c r="E838" t="inlineStr">
        <is>
          <t>1_Discovered</t>
        </is>
      </c>
      <c r="F838" t="inlineStr">
        <is>
          <t>fanout_batch</t>
        </is>
      </c>
      <c r="G838" t="inlineStr">
        <is>
          <t>retarget</t>
        </is>
      </c>
      <c r="H838" t="inlineStr">
        <is>
          <t>seed_qualified_health_data_engineer</t>
        </is>
      </c>
      <c r="I838" t="inlineStr">
        <is>
          <t>Qualified Health Data Engineer</t>
        </is>
      </c>
      <c r="J838"/>
      <c r="K838"/>
      <c r="L838"/>
      <c r="M838"/>
      <c r="N838">
        <v>93.7</v>
      </c>
      <c r="O838" t="inlineStr">
        <is>
          <t>pass</t>
        </is>
      </c>
      <c r="P838">
        <f>HYPERLINK("file:///Users/jingyizhang/Documents/Playground/projects/local_job_resume_pipeline/data/deliverables/resume_portfolio/by_company/sleeper/2026-04-02/69cedd2f891d7b11cfccd910/resume.md","/Users/jingyizhang/Documents/Playground/projects/local_job_resume_pipeline/data/deliverables/resume_portfolio/by_company/sleeper/2026-04-02/69cedd2f891d7b11cfccd910/resume.md")</f>
      </c>
      <c r="Q838"/>
      <c r="R838">
        <f>HYPERLINK("https://jobs.ashbyhq.com/sleeper/cc120080-9cb8-457f-8837-6329cb5de59b?src=Careers+Site","https://jobs.ashbyhq.com/sleeper/cc120080-9cb8-457f-8837-6329cb5de59b?src=Careers+Site")</f>
      </c>
    </row>
    <row r="839">
      <c r="A839" t="inlineStr">
        <is>
          <t>GEI Consultants, Inc.</t>
        </is>
      </c>
      <c r="B839" t="inlineStr">
        <is>
          <t>2026-04-02 16:01:47</t>
        </is>
      </c>
      <c r="C839" t="inlineStr">
        <is>
          <t>69ced93b891d7b11cfccd722</t>
        </is>
      </c>
      <c r="D839" t="inlineStr">
        <is>
          <t>Full Stack Engineer</t>
        </is>
      </c>
      <c r="E839" t="inlineStr">
        <is>
          <t>1_Discovered</t>
        </is>
      </c>
      <c r="F839" t="inlineStr">
        <is>
          <t>fanout_batch</t>
        </is>
      </c>
      <c r="G839" t="inlineStr">
        <is>
          <t>retarget</t>
        </is>
      </c>
      <c r="H839" t="inlineStr">
        <is>
          <t>seed_egen_fullstack_node</t>
        </is>
      </c>
      <c r="I839" t="inlineStr">
        <is>
          <t>Egen Fullstack Node</t>
        </is>
      </c>
      <c r="J839"/>
      <c r="K839"/>
      <c r="L839"/>
      <c r="M839"/>
      <c r="N839">
        <v>89.5</v>
      </c>
      <c r="O839" t="inlineStr">
        <is>
          <t>conditional_pass</t>
        </is>
      </c>
      <c r="P839">
        <f>HYPERLINK("file:///Users/jingyizhang/Documents/Playground/projects/local_job_resume_pipeline/data/deliverables/resume_portfolio/by_company/gei-consultants-inc/2026-04-02/69ced93b891d7b11cfccd722/resume.md","/Users/jingyizhang/Documents/Playground/projects/local_job_resume_pipeline/data/deliverables/resume_portfolio/by_company/gei-consultants-inc/2026-04-02/69ced93b891d7b11cfccd722/resume.md")</f>
      </c>
      <c r="Q839"/>
      <c r="R839">
        <f>HYPERLINK("https://jointeamgei.geiconsultants.com/jobs/17170853-full-stack-engineer?tm_job=856163&amp;tm_event=view&amp;tm_company=90289&amp;bid=56","https://jointeamgei.geiconsultants.com/jobs/17170853-full-stack-engineer?tm_job=856163&amp;tm_event=view&amp;tm_company=90289&amp;bid=56")</f>
      </c>
    </row>
    <row r="840">
      <c r="A840" t="inlineStr">
        <is>
          <t>American Electric Power</t>
        </is>
      </c>
      <c r="B840" t="inlineStr">
        <is>
          <t>2026-04-02 15:55:47</t>
        </is>
      </c>
      <c r="C840" t="inlineStr">
        <is>
          <t>69ced7d354f00230c6d03be9</t>
        </is>
      </c>
      <c r="D840" t="inlineStr">
        <is>
          <t>Data Scientist Associate - Data Scientist Sr.</t>
        </is>
      </c>
      <c r="E840" t="inlineStr">
        <is>
          <t>1_Discovered</t>
        </is>
      </c>
      <c r="F840" t="inlineStr">
        <is>
          <t>fanout_batch</t>
        </is>
      </c>
      <c r="G840" t="inlineStr">
        <is>
          <t>reuse</t>
        </is>
      </c>
      <c r="H840" t="inlineStr">
        <is>
          <t>seed_plaid_data_scientist</t>
        </is>
      </c>
      <c r="I840" t="inlineStr">
        <is>
          <t>Plaid Data Scientist</t>
        </is>
      </c>
      <c r="J840"/>
      <c r="K840"/>
      <c r="L840"/>
      <c r="M840"/>
      <c r="N840"/>
      <c r="O840"/>
      <c r="P840"/>
      <c r="Q840"/>
      <c r="R840">
        <f>HYPERLINK("https://aep.wd1.myworkdayjobs.com/AEPCareerSite/job/Ft-Wayne-IN/Data-Scientist-Associate---Data-Scientist-Sr_R14489?Codes=SM-LinkedIn","https://aep.wd1.myworkdayjobs.com/AEPCareerSite/job/Ft-Wayne-IN/Data-Scientist-Associate---Data-Scientist-Sr_R14489?Codes=SM-LinkedIn")</f>
      </c>
    </row>
    <row r="841">
      <c r="A841" t="inlineStr">
        <is>
          <t>Uber</t>
        </is>
      </c>
      <c r="B841" t="inlineStr">
        <is>
          <t>2026-04-02 15:54:45</t>
        </is>
      </c>
      <c r="C841" t="inlineStr">
        <is>
          <t>69ceeaf0891d7b11cfcce4e4</t>
        </is>
      </c>
      <c r="D841" t="inlineStr">
        <is>
          <t>Senior Data Analyst, People Analytics</t>
        </is>
      </c>
      <c r="E841" t="inlineStr">
        <is>
          <t>1_Discovered</t>
        </is>
      </c>
      <c r="F841" t="inlineStr">
        <is>
          <t>fanout_batch</t>
        </is>
      </c>
      <c r="G841" t="inlineStr">
        <is>
          <t>reuse</t>
        </is>
      </c>
      <c r="H841" t="inlineStr">
        <is>
          <t>seed_plaid_data_scientist</t>
        </is>
      </c>
      <c r="I841" t="inlineStr">
        <is>
          <t>Plaid Data Scientist</t>
        </is>
      </c>
      <c r="J841"/>
      <c r="K841"/>
      <c r="L841"/>
      <c r="M841"/>
      <c r="N841"/>
      <c r="O841"/>
      <c r="P841"/>
      <c r="Q841"/>
      <c r="R841">
        <f>HYPERLINK("https://www.uber.com/global/en/careers/list/157234?iis=Job%20Board%20-%20Recruitment%20Marketing&amp;iisn=Indeed%20Organic&amp;iisp=organic&amp;ittk=P2SAYGZ3WP&amp;jClickId=2809d66c-e5a8-4d24-8656-955b642e5a9a","https://www.uber.com/global/en/careers/list/157234?iis=Job%20Board%20-%20Recruitment%20Marketing&amp;iisn=Indeed%20Organic&amp;iisp=organic&amp;ittk=P2SAYGZ3WP&amp;jClickId=2809d66c-e5a8-4d24-8656-955b642e5a9a")</f>
      </c>
    </row>
    <row r="842">
      <c r="A842" t="inlineStr">
        <is>
          <t>Amazon</t>
        </is>
      </c>
      <c r="B842" t="inlineStr">
        <is>
          <t>2026-04-02 15:53:39</t>
        </is>
      </c>
      <c r="C842" t="inlineStr">
        <is>
          <t>69ced753398fb071abf896e5</t>
        </is>
      </c>
      <c r="D842" t="inlineStr">
        <is>
          <t>Software Engineer, Electric Utility Grid, Hadron</t>
        </is>
      </c>
      <c r="E842" t="inlineStr">
        <is>
          <t>1_Discovered</t>
        </is>
      </c>
      <c r="F842" t="inlineStr">
        <is>
          <t>retarget_trial</t>
        </is>
      </c>
      <c r="G842" t="inlineStr">
        <is>
          <t>retarget</t>
        </is>
      </c>
      <c r="H842" t="inlineStr">
        <is>
          <t>seed_amazon_management_plane_anchor_candidate</t>
        </is>
      </c>
      <c r="I842" t="inlineStr">
        <is>
          <t>Amazon Management Plane Anchor</t>
        </is>
      </c>
      <c r="J842" t="inlineStr">
        <is>
          <t>amazon_platform_mainline</t>
        </is>
      </c>
      <c r="K842" t="inlineStr">
        <is>
          <t>mainline</t>
        </is>
      </c>
      <c r="L842"/>
      <c r="M842"/>
      <c r="N842">
        <v>94.8</v>
      </c>
      <c r="O842" t="inlineStr">
        <is>
          <t>pass</t>
        </is>
      </c>
      <c r="P842">
        <f>HYPERLINK("file:///Users/jingyizhang/Documents/Playground/projects/local_job_resume_pipeline/data/deliverables/resume_portfolio/by_company/amazon/2026-04-02/69ced753398fb071abf896e5/resume.md","/Users/jingyizhang/Documents/Playground/projects/local_job_resume_pipeline/data/deliverables/resume_portfolio/by_company/amazon/2026-04-02/69ced753398fb071abf896e5/resume.md")</f>
      </c>
      <c r="Q842"/>
      <c r="R842">
        <f>HYPERLINK("https://www.amazon.jobs/en/jobs/10382656/software-engineer-electric-utility-grid-hadron","https://www.amazon.jobs/en/jobs/10382656/software-engineer-electric-utility-grid-hadron")</f>
      </c>
    </row>
    <row r="843">
      <c r="A843" t="inlineStr">
        <is>
          <t>Western Governors University</t>
        </is>
      </c>
      <c r="B843" t="inlineStr">
        <is>
          <t>2026-04-02 15:53:19</t>
        </is>
      </c>
      <c r="C843" t="inlineStr">
        <is>
          <t>69ced73f54f00230c6d037a2</t>
        </is>
      </c>
      <c r="D843" t="inlineStr">
        <is>
          <t>Data Scientist - Learning Program Analytics</t>
        </is>
      </c>
      <c r="E843" t="inlineStr">
        <is>
          <t>1_Discovered</t>
        </is>
      </c>
      <c r="F843" t="inlineStr">
        <is>
          <t>fanout_batch</t>
        </is>
      </c>
      <c r="G843" t="inlineStr">
        <is>
          <t>reuse</t>
        </is>
      </c>
      <c r="H843" t="inlineStr">
        <is>
          <t>seed_plaid_data_scientist</t>
        </is>
      </c>
      <c r="I843" t="inlineStr">
        <is>
          <t>Plaid Data Scientist</t>
        </is>
      </c>
      <c r="J843"/>
      <c r="K843"/>
      <c r="L843"/>
      <c r="M843"/>
      <c r="N843"/>
      <c r="O843"/>
      <c r="P843"/>
      <c r="Q843"/>
      <c r="R843">
        <f>HYPERLINK("https://wgu.wd5.myworkdayjobs.com/External/job/Salt-Lake-City-UT/Data-Scientist-i---Learning-Program-Analytics_JR-024746-1","https://wgu.wd5.myworkdayjobs.com/External/job/Salt-Lake-City-UT/Data-Scientist-i---Learning-Program-Analytics_JR-024746-1")</f>
      </c>
    </row>
    <row r="844">
      <c r="A844" t="inlineStr">
        <is>
          <t>Children's Hospital Colorado</t>
        </is>
      </c>
      <c r="B844" t="inlineStr">
        <is>
          <t>2026-04-02 15:42:14</t>
        </is>
      </c>
      <c r="C844" t="inlineStr">
        <is>
          <t>69ceeb15398fb071abf8ab1a</t>
        </is>
      </c>
      <c r="D844" t="inlineStr">
        <is>
          <t>Azure Software Engineer Professional</t>
        </is>
      </c>
      <c r="E844" t="inlineStr">
        <is>
          <t>1_Discovered</t>
        </is>
      </c>
      <c r="F844" t="inlineStr">
        <is>
          <t>fanout_batch</t>
        </is>
      </c>
      <c r="G844" t="inlineStr">
        <is>
          <t>retarget</t>
        </is>
      </c>
      <c r="H844" t="inlineStr">
        <is>
          <t>seed_egen_fullstack_node</t>
        </is>
      </c>
      <c r="I844" t="inlineStr">
        <is>
          <t>Egen Fullstack Node</t>
        </is>
      </c>
      <c r="J844"/>
      <c r="K844"/>
      <c r="L844"/>
      <c r="M844"/>
      <c r="N844">
        <v>72.0</v>
      </c>
      <c r="O844" t="inlineStr">
        <is>
          <t>fail</t>
        </is>
      </c>
      <c r="P844">
        <f>HYPERLINK("file:///Users/jingyizhang/Documents/Playground/projects/local_job_resume_pipeline/data/deliverables/resume_portfolio/by_company/children-s-hospital-colorado/2026-04-02/69ceeb15398fb071abf8ab1a/resume.md","/Users/jingyizhang/Documents/Playground/projects/local_job_resume_pipeline/data/deliverables/resume_portfolio/by_company/children-s-hospital-colorado/2026-04-02/69ceeb15398fb071abf8ab1a/resume.md")</f>
      </c>
      <c r="Q844"/>
      <c r="R844">
        <f>HYPERLINK("https://erecruit4.childrenscolorado.org/psc/erecruit/EMPLOYEE/HRMS/c/HRS_HRAM_FL.HRS_CG_SEARCH_FL.GBL?Page=HRS_APP_JBPST_FL&amp;Action=U&amp;FOCUS=Applicant&amp;SiteId=2&amp;JobOpeningId=104890&amp;PostingSeq=1&amp;","https://erecruit4.childrenscolorado.org/psc/erecruit/EMPLOYEE/HRMS/c/HRS_HRAM_FL.HRS_CG_SEARCH_FL.GBL?Page=HRS_APP_JBPST_FL&amp;Action=U&amp;FOCUS=Applicant&amp;SiteId=2&amp;JobOpeningId=104890&amp;PostingSeq=1&amp;")</f>
      </c>
    </row>
    <row r="845">
      <c r="A845" t="inlineStr">
        <is>
          <t>OATI</t>
        </is>
      </c>
      <c r="B845" t="inlineStr">
        <is>
          <t>2026-04-02 15:40:54</t>
        </is>
      </c>
      <c r="C845" t="inlineStr">
        <is>
          <t>695d85baf5f3c43f38e25c48</t>
        </is>
      </c>
      <c r="D845" t="inlineStr">
        <is>
          <t>AI Engineer</t>
        </is>
      </c>
      <c r="E845" t="inlineStr">
        <is>
          <t>1_Discovered</t>
        </is>
      </c>
      <c r="F845" t="inlineStr">
        <is>
          <t>fanout_batch</t>
        </is>
      </c>
      <c r="G845" t="inlineStr">
        <is>
          <t>retarget</t>
        </is>
      </c>
      <c r="H845" t="inlineStr">
        <is>
          <t>seed_bytedance_ml_grad</t>
        </is>
      </c>
      <c r="I845" t="inlineStr">
        <is>
          <t>ByteDance ML Grad</t>
        </is>
      </c>
      <c r="J845"/>
      <c r="K845"/>
      <c r="L845"/>
      <c r="M845"/>
      <c r="N845">
        <v>91.4</v>
      </c>
      <c r="O845" t="inlineStr">
        <is>
          <t>conditional_pass</t>
        </is>
      </c>
      <c r="P845">
        <f>HYPERLINK("file:///Users/jingyizhang/Documents/Playground/projects/local_job_resume_pipeline/data/deliverables/resume_portfolio/by_company/oati/2026-04-02/695d85baf5f3c43f38e25c48/resume.md","/Users/jingyizhang/Documents/Playground/projects/local_job_resume_pipeline/data/deliverables/resume_portfolio/by_company/oati/2026-04-02/695d85baf5f3c43f38e25c48/resume.md")</f>
      </c>
      <c r="Q845"/>
      <c r="R845">
        <f>HYPERLINK("https://www.linkedin.com/jobs/view/4358362942","https://www.linkedin.com/jobs/view/4358362942")</f>
      </c>
    </row>
    <row r="846">
      <c r="A846" t="inlineStr">
        <is>
          <t>Quantiphi</t>
        </is>
      </c>
      <c r="B846" t="inlineStr">
        <is>
          <t>2026-04-02 15:38:33</t>
        </is>
      </c>
      <c r="C846" t="inlineStr">
        <is>
          <t>69c8dd02b773006330b8256e</t>
        </is>
      </c>
      <c r="D846" t="inlineStr">
        <is>
          <t>Machine Learning Engineer</t>
        </is>
      </c>
      <c r="E846" t="inlineStr">
        <is>
          <t>1_Discovered</t>
        </is>
      </c>
      <c r="F846" t="inlineStr">
        <is>
          <t>fanout_batch</t>
        </is>
      </c>
      <c r="G846" t="inlineStr">
        <is>
          <t>retarget</t>
        </is>
      </c>
      <c r="H846" t="inlineStr">
        <is>
          <t>seed_h2o_ai_engineer</t>
        </is>
      </c>
      <c r="I846" t="inlineStr">
        <is>
          <t>H2O AI Engineer</t>
        </is>
      </c>
      <c r="J846"/>
      <c r="K846"/>
      <c r="L846"/>
      <c r="M846"/>
      <c r="N846">
        <v>93.9</v>
      </c>
      <c r="O846" t="inlineStr">
        <is>
          <t>pass</t>
        </is>
      </c>
      <c r="P846">
        <f>HYPERLINK("file:///Users/jingyizhang/Documents/Playground/projects/local_job_resume_pipeline/data/deliverables/resume_portfolio/by_company/quantiphi/2026-04-02/69c8dd02b773006330b8256e/resume.md","/Users/jingyizhang/Documents/Playground/projects/local_job_resume_pipeline/data/deliverables/resume_portfolio/by_company/quantiphi/2026-04-02/69c8dd02b773006330b8256e/resume.md")</f>
      </c>
      <c r="Q846"/>
      <c r="R846">
        <f>HYPERLINK("https://quantiphi.wd1.myworkdayjobs.com/Careers_at_Quantiphi/job/USA---Remote/Machine-Learning-Engineer_JR7766?source=LinkedIn","https://quantiphi.wd1.myworkdayjobs.com/Careers_at_Quantiphi/job/USA---Remote/Machine-Learning-Engineer_JR7766?source=LinkedIn")</f>
      </c>
    </row>
    <row r="847">
      <c r="A847" t="inlineStr">
        <is>
          <t>Affirm</t>
        </is>
      </c>
      <c r="B847" t="inlineStr">
        <is>
          <t>2026-04-02 15:34:52</t>
        </is>
      </c>
      <c r="C847" t="inlineStr">
        <is>
          <t>697665d1bc8e722e7b1afd8d</t>
        </is>
      </c>
      <c r="D847" t="inlineStr">
        <is>
          <t>Software Engineer II, Backend (Credit Decisioning)</t>
        </is>
      </c>
      <c r="E847" t="inlineStr">
        <is>
          <t>1_Discovered</t>
        </is>
      </c>
      <c r="F847" t="inlineStr">
        <is>
          <t>fanout_batch</t>
        </is>
      </c>
      <c r="G847" t="inlineStr">
        <is>
          <t>retarget</t>
        </is>
      </c>
      <c r="H847" t="inlineStr">
        <is>
          <t>seed_google_cloud_infra_anchor_candidate</t>
        </is>
      </c>
      <c r="I847" t="inlineStr">
        <is>
          <t>Google Cloud Infra Anchor</t>
        </is>
      </c>
      <c r="J847" t="inlineStr">
        <is>
          <t>google_cloud_infra_mainline</t>
        </is>
      </c>
      <c r="K847" t="inlineStr">
        <is>
          <t>mainline</t>
        </is>
      </c>
      <c r="L847"/>
      <c r="M847"/>
      <c r="N847">
        <v>94.0</v>
      </c>
      <c r="O847" t="inlineStr">
        <is>
          <t>pass</t>
        </is>
      </c>
      <c r="P847">
        <f>HYPERLINK("file:///Users/jingyizhang/Documents/Playground/projects/local_job_resume_pipeline/data/deliverables/resume_portfolio/by_company/affirm/2026-04-02/697665d1bc8e722e7b1afd8d/resume.md","/Users/jingyizhang/Documents/Playground/projects/local_job_resume_pipeline/data/deliverables/resume_portfolio/by_company/affirm/2026-04-02/697665d1bc8e722e7b1afd8d/resume.md")</f>
      </c>
      <c r="Q847"/>
      <c r="R847">
        <f>HYPERLINK("https://boards.greenhouse.io/embed/job_app?token=7597920003&amp;utm_source=jobright","https://boards.greenhouse.io/embed/job_app?token=7597920003&amp;utm_source=jobright")</f>
      </c>
    </row>
    <row r="848">
      <c r="A848" t="inlineStr">
        <is>
          <t>Abnormal AI</t>
        </is>
      </c>
      <c r="B848" t="inlineStr">
        <is>
          <t>2026-04-02 15:34:42</t>
        </is>
      </c>
      <c r="C848" t="inlineStr">
        <is>
          <t>69169497286ccf0a151379f4</t>
        </is>
      </c>
      <c r="D848" t="inlineStr">
        <is>
          <t>Software Engineer 2, Product Engineering - Identity Security</t>
        </is>
      </c>
      <c r="E848" t="inlineStr">
        <is>
          <t>1_Discovered</t>
        </is>
      </c>
      <c r="F848" t="inlineStr">
        <is>
          <t>seed_validation</t>
        </is>
      </c>
      <c r="G848" t="inlineStr">
        <is>
          <t>reuse</t>
        </is>
      </c>
      <c r="H848" t="inlineStr">
        <is>
          <t>seed_zip_backend_web</t>
        </is>
      </c>
      <c r="I848" t="inlineStr">
        <is>
          <t>Zip Backend Web</t>
        </is>
      </c>
      <c r="J848"/>
      <c r="K848"/>
      <c r="L848"/>
      <c r="M848"/>
      <c r="N848"/>
      <c r="O848"/>
      <c r="P848"/>
      <c r="Q848"/>
      <c r="R848">
        <f>HYPERLINK("https://boards.greenhouse.io/embed/job_app?token=7491487003&amp;utm_source=jobright","https://boards.greenhouse.io/embed/job_app?token=7491487003&amp;utm_source=jobright")</f>
      </c>
    </row>
    <row r="849">
      <c r="A849" t="inlineStr">
        <is>
          <t>First Street</t>
        </is>
      </c>
      <c r="B849" t="inlineStr">
        <is>
          <t>2026-04-02 15:33:44</t>
        </is>
      </c>
      <c r="C849" t="inlineStr">
        <is>
          <t>69ced2a8cdb525785fb9bb56</t>
        </is>
      </c>
      <c r="D849" t="inlineStr">
        <is>
          <t>Software Engineer</t>
        </is>
      </c>
      <c r="E849" t="inlineStr">
        <is>
          <t>1_Discovered</t>
        </is>
      </c>
      <c r="F849" t="inlineStr">
        <is>
          <t>fanout_batch</t>
        </is>
      </c>
      <c r="G849" t="inlineStr">
        <is>
          <t>reuse</t>
        </is>
      </c>
      <c r="H849" t="inlineStr">
        <is>
          <t>seed_codex_google_fullstack</t>
        </is>
      </c>
      <c r="I849" t="inlineStr">
        <is>
          <t>Google Full Stack</t>
        </is>
      </c>
      <c r="J849" t="inlineStr">
        <is>
          <t>google_product_ai_mainline</t>
        </is>
      </c>
      <c r="K849" t="inlineStr">
        <is>
          <t>mainline</t>
        </is>
      </c>
      <c r="L849"/>
      <c r="M849"/>
      <c r="N849"/>
      <c r="O849"/>
      <c r="P849"/>
      <c r="Q849"/>
      <c r="R849">
        <f>HYPERLINK("https://jobs.ashbyhq.com/firststreet/d8b03ab0-779e-42df-be2f-96b56462a284/application?utm_source=Gqp1Y2jx1z","https://jobs.ashbyhq.com/firststreet/d8b03ab0-779e-42df-be2f-96b56462a284/application?utm_source=Gqp1Y2jx1z")</f>
      </c>
    </row>
    <row r="850">
      <c r="A850" t="inlineStr">
        <is>
          <t>Ericsson</t>
        </is>
      </c>
      <c r="B850" t="inlineStr">
        <is>
          <t>2026-04-02 15:29:06</t>
        </is>
      </c>
      <c r="C850" t="inlineStr">
        <is>
          <t>69cee3a4cfdc6132f942d986</t>
        </is>
      </c>
      <c r="D850" t="inlineStr">
        <is>
          <t>Engineer - Services RF (Network Engineer)</t>
        </is>
      </c>
      <c r="E850" t="inlineStr">
        <is>
          <t>1_Discovered</t>
        </is>
      </c>
      <c r="F850" t="inlineStr">
        <is>
          <t>fanout_batch</t>
        </is>
      </c>
      <c r="G850" t="inlineStr">
        <is>
          <t>retarget</t>
        </is>
      </c>
      <c r="H850" t="inlineStr">
        <is>
          <t>seed_microsoft_polyglot_generalist</t>
        </is>
      </c>
      <c r="I850" t="inlineStr">
        <is>
          <t>Microsoft Polyglot Generalist</t>
        </is>
      </c>
      <c r="J850"/>
      <c r="K850"/>
      <c r="L850"/>
      <c r="M850"/>
      <c r="N850">
        <v>92.2</v>
      </c>
      <c r="O850" t="inlineStr">
        <is>
          <t>conditional_pass</t>
        </is>
      </c>
      <c r="P850">
        <f>HYPERLINK("file:///Users/jingyizhang/Documents/Playground/projects/local_job_resume_pipeline/data/deliverables/resume_portfolio/by_company/ericsson/2026-04-02/69cee3a4cfdc6132f942d986/resume.md","/Users/jingyizhang/Documents/Playground/projects/local_job_resume_pipeline/data/deliverables/resume_portfolio/by_company/ericsson/2026-04-02/69cee3a4cfdc6132f942d986/resume.md")</f>
      </c>
      <c r="Q850"/>
      <c r="R850">
        <f>HYPERLINK("https://jobs.ericsson.com/careers/job/563121775132929?domain=ericsson.com&amp;jobPipeline=Indeed","https://jobs.ericsson.com/careers/job/563121775132929?domain=ericsson.com&amp;jobPipeline=Indeed")</f>
      </c>
    </row>
    <row r="851">
      <c r="A851" t="inlineStr">
        <is>
          <t>Quantiphi</t>
        </is>
      </c>
      <c r="B851" t="inlineStr">
        <is>
          <t>2026-04-02 15:23:10</t>
        </is>
      </c>
      <c r="C851" t="inlineStr">
        <is>
          <t>698f5d8e0cc8ea15f1d9dfa1</t>
        </is>
      </c>
      <c r="D851" t="inlineStr">
        <is>
          <t>Senior Software Developer - Full Stack</t>
        </is>
      </c>
      <c r="E851" t="inlineStr">
        <is>
          <t>1_Discovered</t>
        </is>
      </c>
      <c r="F851" t="inlineStr">
        <is>
          <t>fanout_batch</t>
        </is>
      </c>
      <c r="G851" t="inlineStr">
        <is>
          <t>retarget</t>
        </is>
      </c>
      <c r="H851" t="inlineStr">
        <is>
          <t>seed_egen_fullstack_node</t>
        </is>
      </c>
      <c r="I851" t="inlineStr">
        <is>
          <t>Egen Fullstack Node</t>
        </is>
      </c>
      <c r="J851"/>
      <c r="K851"/>
      <c r="L851"/>
      <c r="M851"/>
      <c r="N851">
        <v>91.0</v>
      </c>
      <c r="O851" t="inlineStr">
        <is>
          <t>conditional_pass</t>
        </is>
      </c>
      <c r="P851">
        <f>HYPERLINK("file:///Users/jingyizhang/Documents/Playground/projects/local_job_resume_pipeline/data/deliverables/resume_portfolio/by_company/quantiphi/2026-04-02/698f5d8e0cc8ea15f1d9dfa1/resume.md","/Users/jingyizhang/Documents/Playground/projects/local_job_resume_pipeline/data/deliverables/resume_portfolio/by_company/quantiphi/2026-04-02/698f5d8e0cc8ea15f1d9dfa1/resume.md")</f>
      </c>
      <c r="Q851"/>
      <c r="R851">
        <f>HYPERLINK("https://quantiphi.wd1.myworkdayjobs.com/Careers_at_Quantiphi/job/USA---Remote/Senior-Software-Developer---Full-Stack_JR7416?source=LinkedIn","https://quantiphi.wd1.myworkdayjobs.com/Careers_at_Quantiphi/job/USA---Remote/Senior-Software-Developer---Full-Stack_JR7416?source=LinkedIn")</f>
      </c>
    </row>
    <row r="852">
      <c r="A852" t="inlineStr">
        <is>
          <t>Grant Street Group</t>
        </is>
      </c>
      <c r="B852" t="inlineStr">
        <is>
          <t>2026-04-02 15:21:10</t>
        </is>
      </c>
      <c r="C852" t="inlineStr">
        <is>
          <t>69cecfb654f00230c6d03570</t>
        </is>
      </c>
      <c r="D852" t="inlineStr">
        <is>
          <t>Data Conversion Analyst</t>
        </is>
      </c>
      <c r="E852" t="inlineStr">
        <is>
          <t>1_Discovered</t>
        </is>
      </c>
      <c r="F852" t="inlineStr">
        <is>
          <t>fanout_batch</t>
        </is>
      </c>
      <c r="G852" t="inlineStr">
        <is>
          <t>reuse</t>
        </is>
      </c>
      <c r="H852" t="inlineStr">
        <is>
          <t>seed_plaid_data_scientist</t>
        </is>
      </c>
      <c r="I852" t="inlineStr">
        <is>
          <t>Plaid Data Scientist</t>
        </is>
      </c>
      <c r="J852"/>
      <c r="K852"/>
      <c r="L852"/>
      <c r="M852"/>
      <c r="N852"/>
      <c r="O852"/>
      <c r="P852"/>
      <c r="Q852"/>
      <c r="R852">
        <f>HYPERLINK("https://jobs.lever.co/grantstreet/d5ab0a9e-db05-42d8-8a86-f343a3965ee4/apply?source=jobright","https://jobs.lever.co/grantstreet/d5ab0a9e-db05-42d8-8a86-f343a3965ee4/apply?source=jobright")</f>
      </c>
    </row>
    <row r="853">
      <c r="A853" t="inlineStr">
        <is>
          <t>Crestron Electronics</t>
        </is>
      </c>
      <c r="B853" t="inlineStr">
        <is>
          <t>2026-04-02 15:16:37</t>
        </is>
      </c>
      <c r="C853" t="inlineStr">
        <is>
          <t>69cecea5cdb525785fb9b99f</t>
        </is>
      </c>
      <c r="D853" t="inlineStr">
        <is>
          <t>Senior Software Engineer</t>
        </is>
      </c>
      <c r="E853" t="inlineStr">
        <is>
          <t>1_Discovered</t>
        </is>
      </c>
      <c r="F853" t="inlineStr">
        <is>
          <t>fanout_batch</t>
        </is>
      </c>
      <c r="G853" t="inlineStr">
        <is>
          <t>retarget</t>
        </is>
      </c>
      <c r="H853" t="inlineStr">
        <is>
          <t>seed_generalist_dotnet_enterprise</t>
        </is>
      </c>
      <c r="I853" t="inlineStr">
        <is>
          <t>Generalist DotNet Enterprise</t>
        </is>
      </c>
      <c r="J853"/>
      <c r="K853"/>
      <c r="L853"/>
      <c r="M853"/>
      <c r="N853">
        <v>90.5</v>
      </c>
      <c r="O853" t="inlineStr">
        <is>
          <t>conditional_pass</t>
        </is>
      </c>
      <c r="P853">
        <f>HYPERLINK("file:///Users/jingyizhang/Documents/Playground/projects/local_job_resume_pipeline/data/deliverables/resume_portfolio/by_company/crestron-electronics/2026-04-02/69cecea5cdb525785fb9b99f/resume.md","/Users/jingyizhang/Documents/Playground/projects/local_job_resume_pipeline/data/deliverables/resume_portfolio/by_company/crestron-electronics/2026-04-02/69cecea5cdb525785fb9b99f/resume.md")</f>
      </c>
      <c r="Q853"/>
      <c r="R853">
        <f>HYPERLINK("https://jobs.dayforcehcm.com/en-US/crestron/candidateportal/jobs/4124","https://jobs.dayforcehcm.com/en-US/crestron/candidateportal/jobs/4124")</f>
      </c>
    </row>
    <row r="854">
      <c r="A854" t="inlineStr">
        <is>
          <t>Palantir Technologies</t>
        </is>
      </c>
      <c r="B854" t="inlineStr">
        <is>
          <t>2026-04-02 15:14:24</t>
        </is>
      </c>
      <c r="C854" t="inlineStr">
        <is>
          <t>69c4fe43d5a1016e98dc6966</t>
        </is>
      </c>
      <c r="D854" t="inlineStr">
        <is>
          <t>Application Security Engineer</t>
        </is>
      </c>
      <c r="E854" t="inlineStr">
        <is>
          <t>1_Discovered</t>
        </is>
      </c>
      <c r="F854" t="inlineStr">
        <is>
          <t>fanout_batch</t>
        </is>
      </c>
      <c r="G854" t="inlineStr">
        <is>
          <t>retarget</t>
        </is>
      </c>
      <c r="H854" t="inlineStr">
        <is>
          <t>seed_fireblocks_sre_anchor</t>
        </is>
      </c>
      <c r="I854" t="inlineStr">
        <is>
          <t>Fireblocks SRE Anchor</t>
        </is>
      </c>
      <c r="J854"/>
      <c r="K854"/>
      <c r="L854"/>
      <c r="M854"/>
      <c r="N854">
        <v>94.9</v>
      </c>
      <c r="O854" t="inlineStr">
        <is>
          <t>pass</t>
        </is>
      </c>
      <c r="P854">
        <f>HYPERLINK("file:///Users/jingyizhang/Documents/Playground/projects/local_job_resume_pipeline/data/deliverables/resume_portfolio/by_company/palantir-technologies/2026-04-02/69c4fe43d5a1016e98dc6966/resume.md","/Users/jingyizhang/Documents/Playground/projects/local_job_resume_pipeline/data/deliverables/resume_portfolio/by_company/palantir-technologies/2026-04-02/69c4fe43d5a1016e98dc6966/resume.md")</f>
      </c>
      <c r="Q854"/>
      <c r="R854">
        <f>HYPERLINK("https://jobs.lever.co/palantir/ce813413-de04-4a7b-a796-43735f55bf0c/apply?lever-source=jobright","https://jobs.lever.co/palantir/ce813413-de04-4a7b-a796-43735f55bf0c/apply?lever-source=jobright")</f>
      </c>
    </row>
    <row r="855">
      <c r="A855" t="inlineStr">
        <is>
          <t>HCL Global Systems Inc</t>
        </is>
      </c>
      <c r="B855" t="inlineStr">
        <is>
          <t>2026-04-02 15:07:57</t>
        </is>
      </c>
      <c r="C855" t="inlineStr">
        <is>
          <t>69cf1865cfdc6132f942f8cb</t>
        </is>
      </c>
      <c r="D855" t="inlineStr">
        <is>
          <t>Business Process Software Engineer</t>
        </is>
      </c>
      <c r="E855" t="inlineStr">
        <is>
          <t>1_Discovered</t>
        </is>
      </c>
      <c r="F855" t="inlineStr">
        <is>
          <t>fanout_batch</t>
        </is>
      </c>
      <c r="G855" t="inlineStr">
        <is>
          <t>retarget</t>
        </is>
      </c>
      <c r="H855" t="inlineStr">
        <is>
          <t>seed_cisco_backend_api</t>
        </is>
      </c>
      <c r="I855" t="inlineStr">
        <is>
          <t>Cisco Backend API</t>
        </is>
      </c>
      <c r="J855"/>
      <c r="K855"/>
      <c r="L855"/>
      <c r="M855"/>
      <c r="N855">
        <v>95.0</v>
      </c>
      <c r="O855" t="inlineStr">
        <is>
          <t>pass</t>
        </is>
      </c>
      <c r="P855">
        <f>HYPERLINK("file:///Users/jingyizhang/Documents/Playground/projects/local_job_resume_pipeline/data/deliverables/resume_portfolio/by_company/hcl-global-systems-inc/2026-04-02/69cf1865cfdc6132f942f8cb/resume.md","/Users/jingyizhang/Documents/Playground/projects/local_job_resume_pipeline/data/deliverables/resume_portfolio/by_company/hcl-global-systems-inc/2026-04-02/69cf1865cfdc6132f942f8cb/resume.md")</f>
      </c>
      <c r="Q855"/>
      <c r="R855">
        <f>HYPERLINK("https://www1.jobdiva.com/portal/?a=ojjdnw5muryk22iaqu00kzqoo9eftg0a381uv3ec303wgwq2iftqu4saz6hpwvxp#/jobs/32103980","https://www1.jobdiva.com/portal/?a=ojjdnw5muryk22iaqu00kzqoo9eftg0a381uv3ec303wgwq2iftqu4saz6hpwvxp#/jobs/32103980")</f>
      </c>
    </row>
    <row r="856">
      <c r="A856" t="inlineStr">
        <is>
          <t>SafeRide Health</t>
        </is>
      </c>
      <c r="B856" t="inlineStr">
        <is>
          <t>2026-04-02 14:53:11</t>
        </is>
      </c>
      <c r="C856" t="inlineStr">
        <is>
          <t>69cec927cdb525785fb9b78b</t>
        </is>
      </c>
      <c r="D856" t="inlineStr">
        <is>
          <t>Data Engineer</t>
        </is>
      </c>
      <c r="E856" t="inlineStr">
        <is>
          <t>1_Discovered</t>
        </is>
      </c>
      <c r="F856" t="inlineStr">
        <is>
          <t>fanout_batch</t>
        </is>
      </c>
      <c r="G856" t="inlineStr">
        <is>
          <t>retarget</t>
        </is>
      </c>
      <c r="H856" t="inlineStr">
        <is>
          <t>seed_qualified_health_data_engineer</t>
        </is>
      </c>
      <c r="I856" t="inlineStr">
        <is>
          <t>Qualified Health Data Engineer</t>
        </is>
      </c>
      <c r="J856"/>
      <c r="K856"/>
      <c r="L856"/>
      <c r="M856"/>
      <c r="N856">
        <v>80.7</v>
      </c>
      <c r="O856" t="inlineStr">
        <is>
          <t>fail</t>
        </is>
      </c>
      <c r="P856">
        <f>HYPERLINK("file:///Users/jingyizhang/Documents/Playground/projects/local_job_resume_pipeline/data/deliverables/resume_portfolio/by_company/saferide-health/2026-04-02/69cec927cdb525785fb9b78b/resume.md","/Users/jingyizhang/Documents/Playground/projects/local_job_resume_pipeline/data/deliverables/resume_portfolio/by_company/saferide-health/2026-04-02/69cec927cdb525785fb9b78b/resume.md")</f>
      </c>
      <c r="Q856"/>
      <c r="R856">
        <f>HYPERLINK("https://saferidehealth.bamboohr.com/careers/262?source=LinkedIn","https://saferidehealth.bamboohr.com/careers/262?source=LinkedIn")</f>
      </c>
    </row>
    <row r="857">
      <c r="A857" t="inlineStr">
        <is>
          <t>U.S. Bank</t>
        </is>
      </c>
      <c r="B857" t="inlineStr">
        <is>
          <t>2026-04-02 14:52:13</t>
        </is>
      </c>
      <c r="C857" t="inlineStr">
        <is>
          <t>69cec8ed54f00230c6d0329f</t>
        </is>
      </c>
      <c r="D857" t="inlineStr">
        <is>
          <t>Software Engineer II - Front End</t>
        </is>
      </c>
      <c r="E857" t="inlineStr">
        <is>
          <t>1_Discovered</t>
        </is>
      </c>
      <c r="F857" t="inlineStr">
        <is>
          <t>fanout_batch</t>
        </is>
      </c>
      <c r="G857" t="inlineStr">
        <is>
          <t>retarget</t>
        </is>
      </c>
      <c r="H857" t="inlineStr">
        <is>
          <t>seed_fullstack_dotnet_azure</t>
        </is>
      </c>
      <c r="I857" t="inlineStr">
        <is>
          <t>Fullstack DotNet Azure</t>
        </is>
      </c>
      <c r="J857"/>
      <c r="K857"/>
      <c r="L857"/>
      <c r="M857"/>
      <c r="N857">
        <v>93.9</v>
      </c>
      <c r="O857" t="inlineStr">
        <is>
          <t>pass</t>
        </is>
      </c>
      <c r="P857">
        <f>HYPERLINK("file:///Users/jingyizhang/Documents/Playground/projects/local_job_resume_pipeline/data/deliverables/resume_portfolio/by_company/u-s-bank/2026-04-02/69cec8ed54f00230c6d0329f/resume.md","/Users/jingyizhang/Documents/Playground/projects/local_job_resume_pipeline/data/deliverables/resume_portfolio/by_company/u-s-bank/2026-04-02/69cec8ed54f00230c6d0329f/resume.md")</f>
      </c>
      <c r="Q857"/>
      <c r="R857">
        <f>HYPERLINK("https://careers.usbank.com/global/en/job/UBNAGLOBAL20260008232EXTERNALENGLOBAL/Software-Engineer-II-Front-End?utm_source=linkedin&amp;utm_medium=phenom-feeds","https://careers.usbank.com/global/en/job/UBNAGLOBAL20260008232EXTERNALENGLOBAL/Software-Engineer-II-Front-End?utm_source=linkedin&amp;utm_medium=phenom-feeds")</f>
      </c>
    </row>
    <row r="858">
      <c r="A858" t="inlineStr">
        <is>
          <t>Bloomberg</t>
        </is>
      </c>
      <c r="B858" t="inlineStr">
        <is>
          <t>2026-04-02 14:44:14</t>
        </is>
      </c>
      <c r="C858" t="inlineStr">
        <is>
          <t>69cedb88366bb95ba55103e5</t>
        </is>
      </c>
      <c r="D858" t="inlineStr">
        <is>
          <t>Senior Software Engineer - Bloomberg Finance &amp; CFO</t>
        </is>
      </c>
      <c r="E858" t="inlineStr">
        <is>
          <t>1_Discovered</t>
        </is>
      </c>
      <c r="F858" t="inlineStr">
        <is>
          <t>fanout_batch</t>
        </is>
      </c>
      <c r="G858" t="inlineStr">
        <is>
          <t>retarget</t>
        </is>
      </c>
      <c r="H858" t="inlineStr">
        <is>
          <t>seed_codex_google_fullstack</t>
        </is>
      </c>
      <c r="I858" t="inlineStr">
        <is>
          <t>Google Full Stack</t>
        </is>
      </c>
      <c r="J858" t="inlineStr">
        <is>
          <t>google_product_ai_mainline</t>
        </is>
      </c>
      <c r="K858" t="inlineStr">
        <is>
          <t>mainline</t>
        </is>
      </c>
      <c r="L858"/>
      <c r="M858"/>
      <c r="N858">
        <v>93.7</v>
      </c>
      <c r="O858" t="inlineStr">
        <is>
          <t>pass</t>
        </is>
      </c>
      <c r="P858">
        <f>HYPERLINK("file:///Users/jingyizhang/Documents/Playground/projects/local_job_resume_pipeline/data/deliverables/resume_portfolio/by_company/bloomberg/2026-04-02/69cedb88366bb95ba55103e5/resume.md","/Users/jingyizhang/Documents/Playground/projects/local_job_resume_pipeline/data/deliverables/resume_portfolio/by_company/bloomberg/2026-04-02/69cedb88366bb95ba55103e5/resume.md")</f>
      </c>
      <c r="Q858"/>
      <c r="R858">
        <f>HYPERLINK("https://bloomberg.avature.net/careers/JobDetail/Senior-Software-Engineer-Bloomberg-Finance-CFO/16558?utm_medium=recruitment&amp;utm_content=jobreq&amp;utm_source=Indeed&amp;source=Indeed&amp;ittk=YHLJVUISCY","https://bloomberg.avature.net/careers/JobDetail/Senior-Software-Engineer-Bloomberg-Finance-CFO/16558?utm_medium=recruitment&amp;utm_content=jobreq&amp;utm_source=Indeed&amp;source=Indeed&amp;ittk=YHLJVUISCY")</f>
      </c>
    </row>
    <row r="859">
      <c r="A859" t="inlineStr">
        <is>
          <t>SMC³</t>
        </is>
      </c>
      <c r="B859" t="inlineStr">
        <is>
          <t>2026-04-02 14:31:21</t>
        </is>
      </c>
      <c r="C859" t="inlineStr">
        <is>
          <t>69cec409cdb525785fb9b386</t>
        </is>
      </c>
      <c r="D859" t="inlineStr">
        <is>
          <t>Data Analyst</t>
        </is>
      </c>
      <c r="E859" t="inlineStr">
        <is>
          <t>1_Discovered</t>
        </is>
      </c>
      <c r="F859" t="inlineStr">
        <is>
          <t>fanout_batch</t>
        </is>
      </c>
      <c r="G859" t="inlineStr">
        <is>
          <t>retarget</t>
        </is>
      </c>
      <c r="H859" t="inlineStr">
        <is>
          <t>seed_h2o_ai_engineer</t>
        </is>
      </c>
      <c r="I859" t="inlineStr">
        <is>
          <t>H2O AI Engineer</t>
        </is>
      </c>
      <c r="J859"/>
      <c r="K859"/>
      <c r="L859"/>
      <c r="M859"/>
      <c r="N859">
        <v>95.6</v>
      </c>
      <c r="O859" t="inlineStr">
        <is>
          <t>pass</t>
        </is>
      </c>
      <c r="P859">
        <f>HYPERLINK("file:///Users/jingyizhang/Documents/Playground/projects/local_job_resume_pipeline/data/deliverables/resume_portfolio/by_company/smc3/2026-04-02/69cec409cdb525785fb9b386/resume.md","/Users/jingyizhang/Documents/Playground/projects/local_job_resume_pipeline/data/deliverables/resume_portfolio/by_company/smc3/2026-04-02/69cec409cdb525785fb9b386/resume.md")</f>
      </c>
      <c r="Q859"/>
      <c r="R859">
        <f>HYPERLINK("https://workforcenow.adp.com/mascsr/default/mdf/recruitment/recruitment.html?cid=1b2791f7-19fd-4432-b223-fae6f2c5798d&amp;ccId=19000101_000001&amp;lang=en_US&amp;source=LI&amp;selectedMenuKey=CareerCenter&amp;jobId=576332","https://workforcenow.adp.com/mascsr/default/mdf/recruitment/recruitment.html?cid=1b2791f7-19fd-4432-b223-fae6f2c5798d&amp;ccId=19000101_000001&amp;lang=en_US&amp;source=LI&amp;selectedMenuKey=CareerCenter&amp;jobId=576332")</f>
      </c>
    </row>
    <row r="860">
      <c r="A860" t="inlineStr">
        <is>
          <t>Capital One</t>
        </is>
      </c>
      <c r="B860" t="inlineStr">
        <is>
          <t>2026-04-02 14:28:32</t>
        </is>
      </c>
      <c r="C860" t="inlineStr">
        <is>
          <t>69cec360891d7b11cfccc3ea</t>
        </is>
      </c>
      <c r="D860" t="inlineStr">
        <is>
          <t>Applied Researcher I (AI Foundations, LLM Customization, Finetuning, Reinforcement Learning)</t>
        </is>
      </c>
      <c r="E860" t="inlineStr">
        <is>
          <t>1_Discovered</t>
        </is>
      </c>
      <c r="F860" t="inlineStr">
        <is>
          <t>fanout_batch</t>
        </is>
      </c>
      <c r="G860" t="inlineStr">
        <is>
          <t>reuse</t>
        </is>
      </c>
      <c r="H860" t="inlineStr">
        <is>
          <t>seed_bytedance_ml_grad</t>
        </is>
      </c>
      <c r="I860" t="inlineStr">
        <is>
          <t>ByteDance ML Grad</t>
        </is>
      </c>
      <c r="J860"/>
      <c r="K860"/>
      <c r="L860"/>
      <c r="M860"/>
      <c r="N860"/>
      <c r="O860"/>
      <c r="P860"/>
      <c r="Q860"/>
      <c r="R860">
        <f>HYPERLINK("https://capitalone.wd12.myworkdayjobs.com/Capital_One/job/McLean-VA/Applied-Researcher-I--AI-Foundations--LLM-Customization--Finetuning--Reinforcement-Learning-_R239757-1","https://capitalone.wd12.myworkdayjobs.com/Capital_One/job/McLean-VA/Applied-Researcher-I--AI-Foundations--LLM-Customization--Finetuning--Reinforcement-Learning-_R239757-1")</f>
      </c>
    </row>
    <row r="861">
      <c r="A861" t="inlineStr">
        <is>
          <t>Fusable</t>
        </is>
      </c>
      <c r="B861" t="inlineStr">
        <is>
          <t>2026-04-02 14:27:17</t>
        </is>
      </c>
      <c r="C861" t="inlineStr">
        <is>
          <t>69cec315cdb525785fb9b0fc</t>
        </is>
      </c>
      <c r="D861" t="inlineStr">
        <is>
          <t>Data Specialist</t>
        </is>
      </c>
      <c r="E861" t="inlineStr">
        <is>
          <t>1_Discovered</t>
        </is>
      </c>
      <c r="F861" t="inlineStr">
        <is>
          <t>fanout_batch</t>
        </is>
      </c>
      <c r="G861" t="inlineStr">
        <is>
          <t>reuse</t>
        </is>
      </c>
      <c r="H861" t="inlineStr">
        <is>
          <t>seed_plaid_data_scientist</t>
        </is>
      </c>
      <c r="I861" t="inlineStr">
        <is>
          <t>Plaid Data Scientist</t>
        </is>
      </c>
      <c r="J861"/>
      <c r="K861"/>
      <c r="L861"/>
      <c r="M861"/>
      <c r="N861"/>
      <c r="O861"/>
      <c r="P861"/>
      <c r="Q861"/>
      <c r="R861">
        <f>HYPERLINK("https://recruiting.ultipro.com/ran1004/JobBoard/c4a6f199-4067-786a-1f9d-9fa3d8111d01/OpportunityDetail?opportunityId=067f71f5-359e-4d62-9a0d-fe475e26aec8","https://recruiting.ultipro.com/ran1004/JobBoard/c4a6f199-4067-786a-1f9d-9fa3d8111d01/OpportunityDetail?opportunityId=067f71f5-359e-4d62-9a0d-fe475e26aec8")</f>
      </c>
    </row>
    <row r="862">
      <c r="A862" t="inlineStr">
        <is>
          <t>Goldman Sachs</t>
        </is>
      </c>
      <c r="B862" t="inlineStr">
        <is>
          <t>2026-04-02 14:24:30</t>
        </is>
      </c>
      <c r="C862" t="inlineStr">
        <is>
          <t>697ecd90abff4c399a9d6aaf</t>
        </is>
      </c>
      <c r="D862" t="inlineStr">
        <is>
          <t>Data Engineering - Market Data Engineering - Software Engineer - Associate - Dallas</t>
        </is>
      </c>
      <c r="E862" t="inlineStr">
        <is>
          <t>1_Discovered</t>
        </is>
      </c>
      <c r="F862" t="inlineStr">
        <is>
          <t>fanout_batch</t>
        </is>
      </c>
      <c r="G862" t="inlineStr">
        <is>
          <t>retarget</t>
        </is>
      </c>
      <c r="H862" t="inlineStr">
        <is>
          <t>seed_paypal_java_backend</t>
        </is>
      </c>
      <c r="I862" t="inlineStr">
        <is>
          <t>PayPal Java Backend</t>
        </is>
      </c>
      <c r="J862"/>
      <c r="K862"/>
      <c r="L862"/>
      <c r="M862"/>
      <c r="N862">
        <v>95.8</v>
      </c>
      <c r="O862" t="inlineStr">
        <is>
          <t>pass</t>
        </is>
      </c>
      <c r="P862">
        <f>HYPERLINK("file:///Users/jingyizhang/Documents/Playground/projects/local_job_resume_pipeline/data/deliverables/resume_portfolio/by_company/goldman-sachs/2026-04-02/697ecd90abff4c399a9d6aaf/resume.md","/Users/jingyizhang/Documents/Playground/projects/local_job_resume_pipeline/data/deliverables/resume_portfolio/by_company/goldman-sachs/2026-04-02/697ecd90abff4c399a9d6aaf/resume.md")</f>
      </c>
      <c r="Q862"/>
      <c r="R862">
        <f>HYPERLINK("https://hdpc.fa.us2.oraclecloud.com/hcmUI/CandidateExperience/en/job/152750/?utm_medium=jobshare&amp;mode=job&amp;iis=LinkedIn","https://hdpc.fa.us2.oraclecloud.com/hcmUI/CandidateExperience/en/job/152750/?utm_medium=jobshare&amp;mode=job&amp;iis=LinkedIn")</f>
      </c>
    </row>
    <row r="863">
      <c r="A863" t="inlineStr">
        <is>
          <t>Cambia Health Solutions</t>
        </is>
      </c>
      <c r="B863" t="inlineStr">
        <is>
          <t>2026-04-02 14:19:46</t>
        </is>
      </c>
      <c r="C863" t="inlineStr">
        <is>
          <t>69cec152cdb525785fb9afc1</t>
        </is>
      </c>
      <c r="D863" t="inlineStr">
        <is>
          <t>AI Scientist II (Healthcare)</t>
        </is>
      </c>
      <c r="E863" t="inlineStr">
        <is>
          <t>1_Discovered</t>
        </is>
      </c>
      <c r="F863" t="inlineStr">
        <is>
          <t>fanout_batch</t>
        </is>
      </c>
      <c r="G863" t="inlineStr">
        <is>
          <t>retarget</t>
        </is>
      </c>
      <c r="H863" t="inlineStr">
        <is>
          <t>seed_linkedin_mle_foundation</t>
        </is>
      </c>
      <c r="I863" t="inlineStr">
        <is>
          <t>LinkedIn MLE Foundation</t>
        </is>
      </c>
      <c r="J863"/>
      <c r="K863"/>
      <c r="L863"/>
      <c r="M863"/>
      <c r="N863">
        <v>93.8</v>
      </c>
      <c r="O863" t="inlineStr">
        <is>
          <t>pass</t>
        </is>
      </c>
      <c r="P863">
        <f>HYPERLINK("file:///Users/jingyizhang/Documents/Playground/projects/local_job_resume_pipeline/data/deliverables/resume_portfolio/by_company/cambia-health-solutions/2026-04-02/69cec152cdb525785fb9afc1/resume.md","/Users/jingyizhang/Documents/Playground/projects/local_job_resume_pipeline/data/deliverables/resume_portfolio/by_company/cambia-health-solutions/2026-04-02/69cec152cdb525785fb9afc1/resume.md")</f>
      </c>
      <c r="Q863"/>
      <c r="R863">
        <f>HYPERLINK("https://cambiahealth.wd1.myworkdayjobs.com/External/job/Renton-WA/AI-Scientist-II--Healthcare-_R-6482?source=LinkedIn","https://cambiahealth.wd1.myworkdayjobs.com/External/job/Renton-WA/AI-Scientist-II--Healthcare-_R-6482?source=LinkedIn")</f>
      </c>
    </row>
    <row r="864">
      <c r="A864" t="inlineStr">
        <is>
          <t>Capital One</t>
        </is>
      </c>
      <c r="B864" t="inlineStr">
        <is>
          <t>2026-04-02 14:17:34</t>
        </is>
      </c>
      <c r="C864" t="inlineStr">
        <is>
          <t>69b1af8c548f140066e77927</t>
        </is>
      </c>
      <c r="D864" t="inlineStr">
        <is>
          <t>Applied Researcher I</t>
        </is>
      </c>
      <c r="E864" t="inlineStr">
        <is>
          <t>1_Discovered</t>
        </is>
      </c>
      <c r="F864" t="inlineStr">
        <is>
          <t>fanout_batch</t>
        </is>
      </c>
      <c r="G864" t="inlineStr">
        <is>
          <t>reuse</t>
        </is>
      </c>
      <c r="H864" t="inlineStr">
        <is>
          <t>seed_bytedance_ml_grad</t>
        </is>
      </c>
      <c r="I864" t="inlineStr">
        <is>
          <t>ByteDance ML Grad</t>
        </is>
      </c>
      <c r="J864"/>
      <c r="K864"/>
      <c r="L864"/>
      <c r="M864"/>
      <c r="N864"/>
      <c r="O864"/>
      <c r="P864"/>
      <c r="Q864"/>
      <c r="R864">
        <f>HYPERLINK("https://www.capitalonecareers.com/job/-/-/234/92627124256?p_sid=4IJP3zb&amp;p_uid=JFyN5MUU15&amp;source=jobright&amp;ss=paid&amp;utm_campaign=tech_26&amp;utm_content=pj_board&amp;utm_medium=jobad&amp;utm_source=jobright","https://www.capitalonecareers.com/job/-/-/234/92627124256?p_sid=4IJP3zb&amp;p_uid=JFyN5MUU15&amp;source=jobright&amp;ss=paid&amp;utm_campaign=tech_26&amp;utm_content=pj_board&amp;utm_medium=jobad&amp;utm_source=jobright")</f>
      </c>
    </row>
    <row r="865">
      <c r="A865" t="inlineStr">
        <is>
          <t>WEX</t>
        </is>
      </c>
      <c r="B865" t="inlineStr">
        <is>
          <t>2026-04-02 14:09:56</t>
        </is>
      </c>
      <c r="C865" t="inlineStr">
        <is>
          <t>6992b586e0bddb6acac0e42c</t>
        </is>
      </c>
      <c r="D865" t="inlineStr">
        <is>
          <t>Senior Software Development Engineer</t>
        </is>
      </c>
      <c r="E865" t="inlineStr">
        <is>
          <t>1_Discovered</t>
        </is>
      </c>
      <c r="F865" t="inlineStr">
        <is>
          <t>fanout_batch</t>
        </is>
      </c>
      <c r="G865" t="inlineStr">
        <is>
          <t>retarget</t>
        </is>
      </c>
      <c r="H865" t="inlineStr">
        <is>
          <t>seed_generalist_dotnet_enterprise</t>
        </is>
      </c>
      <c r="I865" t="inlineStr">
        <is>
          <t>Generalist DotNet Enterprise</t>
        </is>
      </c>
      <c r="J865"/>
      <c r="K865"/>
      <c r="L865"/>
      <c r="M865"/>
      <c r="N865">
        <v>94.8</v>
      </c>
      <c r="O865" t="inlineStr">
        <is>
          <t>pass</t>
        </is>
      </c>
      <c r="P865">
        <f>HYPERLINK("file:///Users/jingyizhang/Documents/Playground/projects/local_job_resume_pipeline/data/deliverables/resume_portfolio/by_company/wex/2026-04-02/6992b586e0bddb6acac0e42c/resume.md","/Users/jingyizhang/Documents/Playground/projects/local_job_resume_pipeline/data/deliverables/resume_portfolio/by_company/wex/2026-04-02/6992b586e0bddb6acac0e42c/resume.md")</f>
      </c>
      <c r="Q865"/>
      <c r="R865">
        <f>HYPERLINK("https://careers.wexinc.com/us/en/job/WEXWEXUSR20653EXTERNALENUS/Senior-Software-Development-Engineer?utm_source=linkedin&amp;utm_medium=phenom-feeds","https://careers.wexinc.com/us/en/job/WEXWEXUSR20653EXTERNALENUS/Senior-Software-Development-Engineer?utm_source=linkedin&amp;utm_medium=phenom-feeds")</f>
      </c>
    </row>
    <row r="866">
      <c r="A866" t="inlineStr">
        <is>
          <t>Ironclad</t>
        </is>
      </c>
      <c r="B866" t="inlineStr">
        <is>
          <t>2026-04-02 14:09:56</t>
        </is>
      </c>
      <c r="C866" t="inlineStr">
        <is>
          <t>6965987fa112b40266139f4a</t>
        </is>
      </c>
      <c r="D866" t="inlineStr">
        <is>
          <t>Senior Software Engineer - Search and Discovery</t>
        </is>
      </c>
      <c r="E866" t="inlineStr">
        <is>
          <t>1_Discovered</t>
        </is>
      </c>
      <c r="F866" t="inlineStr">
        <is>
          <t>fanout_batch</t>
        </is>
      </c>
      <c r="G866" t="inlineStr">
        <is>
          <t>retarget</t>
        </is>
      </c>
      <c r="H866" t="inlineStr">
        <is>
          <t>seed_egen_fullstack_node</t>
        </is>
      </c>
      <c r="I866" t="inlineStr">
        <is>
          <t>Egen Fullstack Node</t>
        </is>
      </c>
      <c r="J866"/>
      <c r="K866"/>
      <c r="L866"/>
      <c r="M866"/>
      <c r="N866">
        <v>93.3</v>
      </c>
      <c r="O866" t="inlineStr">
        <is>
          <t>pass</t>
        </is>
      </c>
      <c r="P866">
        <f>HYPERLINK("file:///Users/jingyizhang/Documents/Playground/projects/local_job_resume_pipeline/data/deliverables/resume_portfolio/by_company/ironclad/2026-04-02/6965987fa112b40266139f4a/resume.md","/Users/jingyizhang/Documents/Playground/projects/local_job_resume_pipeline/data/deliverables/resume_portfolio/by_company/ironclad/2026-04-02/6965987fa112b40266139f4a/resume.md")</f>
      </c>
      <c r="Q866"/>
      <c r="R866">
        <f>HYPERLINK("https://jobs.ashbyhq.com/ironcladhq/8f85abf1-c8ab-4868-a6a1-2720d2433db5/application","https://jobs.ashbyhq.com/ironcladhq/8f85abf1-c8ab-4868-a6a1-2720d2433db5/application")</f>
      </c>
    </row>
    <row r="867">
      <c r="A867" t="inlineStr">
        <is>
          <t>Goldman Sachs</t>
        </is>
      </c>
      <c r="B867" t="inlineStr">
        <is>
          <t>2026-04-02 14:06:53</t>
        </is>
      </c>
      <c r="C867" t="inlineStr">
        <is>
          <t>6995611d81476f6176ad4ec1</t>
        </is>
      </c>
      <c r="D867" t="inlineStr">
        <is>
          <t>AI/ML Engineer, Global Banking &amp; Markets, Investment Banking</t>
        </is>
      </c>
      <c r="E867" t="inlineStr">
        <is>
          <t>1_Discovered</t>
        </is>
      </c>
      <c r="F867" t="inlineStr">
        <is>
          <t>fanout_batch</t>
        </is>
      </c>
      <c r="G867" t="inlineStr">
        <is>
          <t>reuse</t>
        </is>
      </c>
      <c r="H867" t="inlineStr">
        <is>
          <t>seed_bytedance_ml_grad</t>
        </is>
      </c>
      <c r="I867" t="inlineStr">
        <is>
          <t>ByteDance ML Grad</t>
        </is>
      </c>
      <c r="J867"/>
      <c r="K867"/>
      <c r="L867"/>
      <c r="M867"/>
      <c r="N867"/>
      <c r="O867"/>
      <c r="P867"/>
      <c r="Q867"/>
      <c r="R867">
        <f>HYPERLINK("https://hdpc.fa.us2.oraclecloud.com/hcmUI/CandidateExperience/en/job/161628/?utm_medium=jobshare&amp;mode=job&amp;iis=LinkedIn","https://hdpc.fa.us2.oraclecloud.com/hcmUI/CandidateExperience/en/job/161628/?utm_medium=jobshare&amp;mode=job&amp;iis=LinkedIn")</f>
      </c>
    </row>
    <row r="868">
      <c r="A868" t="inlineStr">
        <is>
          <t>Fastenal</t>
        </is>
      </c>
      <c r="B868" t="inlineStr">
        <is>
          <t>2026-04-02 14:02:21</t>
        </is>
      </c>
      <c r="C868" t="inlineStr">
        <is>
          <t>69cebd3d891d7b11cfccc17c</t>
        </is>
      </c>
      <c r="D868" t="inlineStr">
        <is>
          <t>Data Integration Engineer</t>
        </is>
      </c>
      <c r="E868" t="inlineStr">
        <is>
          <t>1_Discovered</t>
        </is>
      </c>
      <c r="F868" t="inlineStr">
        <is>
          <t>fanout_batch</t>
        </is>
      </c>
      <c r="G868" t="inlineStr">
        <is>
          <t>reuse</t>
        </is>
      </c>
      <c r="H868" t="inlineStr">
        <is>
          <t>seed_qualified_health_data_engineer</t>
        </is>
      </c>
      <c r="I868" t="inlineStr">
        <is>
          <t>Qualified Health Data Engineer</t>
        </is>
      </c>
      <c r="J868"/>
      <c r="K868"/>
      <c r="L868"/>
      <c r="M868"/>
      <c r="N868"/>
      <c r="O868"/>
      <c r="P868"/>
      <c r="Q868"/>
      <c r="R868">
        <f>HYPERLINK("https://jobs.fastenal.com/details/621945","https://jobs.fastenal.com/details/621945")</f>
      </c>
    </row>
    <row r="869">
      <c r="A869" t="inlineStr">
        <is>
          <t>6sense</t>
        </is>
      </c>
      <c r="B869" t="inlineStr">
        <is>
          <t>2026-04-02 13:58:38</t>
        </is>
      </c>
      <c r="C869" t="inlineStr">
        <is>
          <t>69cebc5ecdb525785fb9ae4f</t>
        </is>
      </c>
      <c r="D869" t="inlineStr">
        <is>
          <t>Software Engineer III</t>
        </is>
      </c>
      <c r="E869" t="inlineStr">
        <is>
          <t>1_Discovered</t>
        </is>
      </c>
      <c r="F869" t="inlineStr">
        <is>
          <t>fanout_batch</t>
        </is>
      </c>
      <c r="G869" t="inlineStr">
        <is>
          <t>retarget</t>
        </is>
      </c>
      <c r="H869" t="inlineStr">
        <is>
          <t>seed_aws_support_backend_anchor</t>
        </is>
      </c>
      <c r="I869" t="inlineStr">
        <is>
          <t>AWS Support Backend Anchor</t>
        </is>
      </c>
      <c r="J869"/>
      <c r="K869"/>
      <c r="L869"/>
      <c r="M869"/>
      <c r="N869">
        <v>94.8</v>
      </c>
      <c r="O869" t="inlineStr">
        <is>
          <t>pass</t>
        </is>
      </c>
      <c r="P869">
        <f>HYPERLINK("file:///Users/jingyizhang/Documents/Playground/projects/local_job_resume_pipeline/data/deliverables/resume_portfolio/by_company/6sense/2026-04-02/69cebc5ecdb525785fb9ae4f/resume.md","/Users/jingyizhang/Documents/Playground/projects/local_job_resume_pipeline/data/deliverables/resume_portfolio/by_company/6sense/2026-04-02/69cebc5ecdb525785fb9ae4f/resume.md")</f>
      </c>
      <c r="Q869"/>
      <c r="R869">
        <f>HYPERLINK("https://boards.greenhouse.io/embed/job_app?token=7642873&amp;utm_source=jobright","https://boards.greenhouse.io/embed/job_app?token=7642873&amp;utm_source=jobright")</f>
      </c>
    </row>
    <row r="870">
      <c r="A870" t="inlineStr">
        <is>
          <t>Recruiting from Scratch</t>
        </is>
      </c>
      <c r="B870" t="inlineStr">
        <is>
          <t>2026-04-02 13:53:51</t>
        </is>
      </c>
      <c r="C870" t="inlineStr">
        <is>
          <t>69cebb3f54f00230c6d029e4</t>
        </is>
      </c>
      <c r="D870" t="inlineStr">
        <is>
          <t>Fullstack Engineer (Backend Leaning)</t>
        </is>
      </c>
      <c r="E870" t="inlineStr">
        <is>
          <t>1_Discovered</t>
        </is>
      </c>
      <c r="F870" t="inlineStr">
        <is>
          <t>seed_validation</t>
        </is>
      </c>
      <c r="G870" t="inlineStr">
        <is>
          <t>reuse</t>
        </is>
      </c>
      <c r="H870" t="inlineStr">
        <is>
          <t>seed_profound_fullstack_ts_node</t>
        </is>
      </c>
      <c r="I870" t="inlineStr">
        <is>
          <t>Profound Fullstack TS Node</t>
        </is>
      </c>
      <c r="J870"/>
      <c r="K870"/>
      <c r="L870"/>
      <c r="M870"/>
      <c r="N870"/>
      <c r="O870"/>
      <c r="P870"/>
      <c r="Q870"/>
      <c r="R870">
        <f>HYPERLINK("https://recruiterflow.com/recruitingfromscratch/jobs/3574","https://recruiterflow.com/recruitingfromscratch/jobs/3574")</f>
      </c>
    </row>
    <row r="871">
      <c r="A871" t="inlineStr">
        <is>
          <t>PayPal</t>
        </is>
      </c>
      <c r="B871" t="inlineStr">
        <is>
          <t>2026-04-02 13:48:16</t>
        </is>
      </c>
      <c r="C871" t="inlineStr">
        <is>
          <t>69ceb9f0891d7b11cfccbaca</t>
        </is>
      </c>
      <c r="D871" t="inlineStr">
        <is>
          <t>Software Engineer - SDET</t>
        </is>
      </c>
      <c r="E871" t="inlineStr">
        <is>
          <t>1_Discovered</t>
        </is>
      </c>
      <c r="F871" t="inlineStr">
        <is>
          <t>fanout_batch</t>
        </is>
      </c>
      <c r="G871" t="inlineStr">
        <is>
          <t>reuse</t>
        </is>
      </c>
      <c r="H871" t="inlineStr">
        <is>
          <t>seed_paypal_java_backend</t>
        </is>
      </c>
      <c r="I871" t="inlineStr">
        <is>
          <t>PayPal Java Backend</t>
        </is>
      </c>
      <c r="J871"/>
      <c r="K871"/>
      <c r="L871"/>
      <c r="M871"/>
      <c r="N871"/>
      <c r="O871"/>
      <c r="P871"/>
      <c r="Q871"/>
      <c r="R871">
        <f>HYPERLINK("https://paypal.wd1.myworkdayjobs.com/jobs/job/San-Jose-California-United-States-of-America/Software-Engineer---SDET_R0134671-1","https://paypal.wd1.myworkdayjobs.com/jobs/job/San-Jose-California-United-States-of-America/Software-Engineer---SDET_R0134671-1")</f>
      </c>
    </row>
    <row r="872">
      <c r="A872" t="inlineStr">
        <is>
          <t>Ironclad</t>
        </is>
      </c>
      <c r="B872" t="inlineStr">
        <is>
          <t>2026-04-02 13:48:09</t>
        </is>
      </c>
      <c r="C872" t="inlineStr">
        <is>
          <t>6966f80f6f782b4e8d52a161</t>
        </is>
      </c>
      <c r="D872" t="inlineStr">
        <is>
          <t>Software Engineer II</t>
        </is>
      </c>
      <c r="E872" t="inlineStr">
        <is>
          <t>1_Discovered</t>
        </is>
      </c>
      <c r="F872" t="inlineStr">
        <is>
          <t>seed_validation</t>
        </is>
      </c>
      <c r="G872" t="inlineStr">
        <is>
          <t>reuse</t>
        </is>
      </c>
      <c r="H872" t="inlineStr">
        <is>
          <t>atomizer_06_full-stack_web_application_engineer_resume</t>
        </is>
      </c>
      <c r="I872" t="inlineStr">
        <is>
          <t>06 Full-Stack Web Application Engineer</t>
        </is>
      </c>
      <c r="J872"/>
      <c r="K872"/>
      <c r="L872"/>
      <c r="M872"/>
      <c r="N872"/>
      <c r="O872"/>
      <c r="P872"/>
      <c r="Q872"/>
      <c r="R872">
        <f>HYPERLINK("https://jobs.ashbyhq.com/ironcladhq/b87de72e-81a2-46ad-ac4e-c5c998d27fe9/application","https://jobs.ashbyhq.com/ironcladhq/b87de72e-81a2-46ad-ac4e-c5c998d27fe9/application")</f>
      </c>
    </row>
    <row r="873">
      <c r="A873" t="inlineStr">
        <is>
          <t>FreshDirect</t>
        </is>
      </c>
      <c r="B873" t="inlineStr">
        <is>
          <t>2026-04-02 13:48:07</t>
        </is>
      </c>
      <c r="C873" t="inlineStr">
        <is>
          <t>69ceb9e7cdb525785fb9a82a</t>
        </is>
      </c>
      <c r="D873" t="inlineStr">
        <is>
          <t>Sr. Java Backend Developer</t>
        </is>
      </c>
      <c r="E873" t="inlineStr">
        <is>
          <t>1_Discovered</t>
        </is>
      </c>
      <c r="F873" t="inlineStr">
        <is>
          <t>fanout_batch</t>
        </is>
      </c>
      <c r="G873" t="inlineStr">
        <is>
          <t>retarget</t>
        </is>
      </c>
      <c r="H873" t="inlineStr">
        <is>
          <t>seed_cisco_backend_api</t>
        </is>
      </c>
      <c r="I873" t="inlineStr">
        <is>
          <t>Cisco Backend API</t>
        </is>
      </c>
      <c r="J873"/>
      <c r="K873"/>
      <c r="L873"/>
      <c r="M873"/>
      <c r="N873">
        <v>94.0</v>
      </c>
      <c r="O873" t="inlineStr">
        <is>
          <t>pass</t>
        </is>
      </c>
      <c r="P873">
        <f>HYPERLINK("file:///Users/jingyizhang/Documents/Playground/projects/local_job_resume_pipeline/data/deliverables/resume_portfolio/by_company/freshdirect/2026-04-02/69ceb9e7cdb525785fb9a82a/resume.md","/Users/jingyizhang/Documents/Playground/projects/local_job_resume_pipeline/data/deliverables/resume_portfolio/by_company/freshdirect/2026-04-02/69ceb9e7cdb525785fb9a82a/resume.md")</f>
      </c>
      <c r="Q873"/>
      <c r="R873">
        <f>HYPERLINK("https://www.linkedin.com/jobs/view/4334140588","https://www.linkedin.com/jobs/view/4334140588")</f>
      </c>
    </row>
    <row r="874">
      <c r="A874" t="inlineStr">
        <is>
          <t>Mastercard</t>
        </is>
      </c>
      <c r="B874" t="inlineStr">
        <is>
          <t>2026-04-02 13:40:40</t>
        </is>
      </c>
      <c r="C874" t="inlineStr">
        <is>
          <t>6994f5c7e0bddb6acac37ac9</t>
        </is>
      </c>
      <c r="D874" t="inlineStr">
        <is>
          <t>Software Engineer II</t>
        </is>
      </c>
      <c r="E874" t="inlineStr">
        <is>
          <t>1_Discovered</t>
        </is>
      </c>
      <c r="F874" t="inlineStr">
        <is>
          <t>fanout_batch</t>
        </is>
      </c>
      <c r="G874" t="inlineStr">
        <is>
          <t>retarget</t>
        </is>
      </c>
      <c r="H874" t="inlineStr">
        <is>
          <t>seed_paypal_java_backend</t>
        </is>
      </c>
      <c r="I874" t="inlineStr">
        <is>
          <t>PayPal Java Backend</t>
        </is>
      </c>
      <c r="J874"/>
      <c r="K874"/>
      <c r="L874"/>
      <c r="M874"/>
      <c r="N874">
        <v>94.0</v>
      </c>
      <c r="O874" t="inlineStr">
        <is>
          <t>pass</t>
        </is>
      </c>
      <c r="P874">
        <f>HYPERLINK("file:///Users/jingyizhang/Documents/Playground/projects/local_job_resume_pipeline/data/deliverables/resume_portfolio/by_company/mastercard/2026-04-02/6994f5c7e0bddb6acac37ac9/resume.md","/Users/jingyizhang/Documents/Playground/projects/local_job_resume_pipeline/data/deliverables/resume_portfolio/by_company/mastercard/2026-04-02/6994f5c7e0bddb6acac37ac9/resume.md")</f>
      </c>
      <c r="Q874"/>
      <c r="R874">
        <f>HYPERLINK("https://careers.mastercard.com/us/en/job/MASRUSR269309EXTERNALENUS/Software-Engineer-II?utm_source=linkedin&amp;utm_medium=phenom-feeds&amp;source=LINKEDIN","https://careers.mastercard.com/us/en/job/MASRUSR269309EXTERNALENUS/Software-Engineer-II?utm_source=linkedin&amp;utm_medium=phenom-feeds&amp;source=LINKEDIN")</f>
      </c>
    </row>
    <row r="875">
      <c r="A875" t="inlineStr">
        <is>
          <t>Dayforce</t>
        </is>
      </c>
      <c r="B875" t="inlineStr">
        <is>
          <t>2026-04-02 13:39:04</t>
        </is>
      </c>
      <c r="C875" t="inlineStr">
        <is>
          <t>69b2e21eae2a534885ea22b4</t>
        </is>
      </c>
      <c r="D875" t="inlineStr">
        <is>
          <t>Software Developer III</t>
        </is>
      </c>
      <c r="E875" t="inlineStr">
        <is>
          <t>1_Discovered</t>
        </is>
      </c>
      <c r="F875" t="inlineStr">
        <is>
          <t>fanout_batch</t>
        </is>
      </c>
      <c r="G875" t="inlineStr">
        <is>
          <t>retarget</t>
        </is>
      </c>
      <c r="H875" t="inlineStr">
        <is>
          <t>seed_egen_fullstack_node</t>
        </is>
      </c>
      <c r="I875" t="inlineStr">
        <is>
          <t>Egen Fullstack Node</t>
        </is>
      </c>
      <c r="J875"/>
      <c r="K875"/>
      <c r="L875"/>
      <c r="M875"/>
      <c r="N875">
        <v>93.3</v>
      </c>
      <c r="O875" t="inlineStr">
        <is>
          <t>pass</t>
        </is>
      </c>
      <c r="P875">
        <f>HYPERLINK("file:///Users/jingyizhang/Documents/Playground/projects/local_job_resume_pipeline/data/deliverables/resume_portfolio/by_company/dayforce/2026-04-02/69b2e21eae2a534885ea22b4/resume.md","/Users/jingyizhang/Documents/Playground/projects/local_job_resume_pipeline/data/deliverables/resume_portfolio/by_company/dayforce/2026-04-02/69b2e21eae2a534885ea22b4/resume.md")</f>
      </c>
      <c r="Q875"/>
      <c r="R875">
        <f>HYPERLINK("https://jobs.dayforcehcm.com/en-US/mydayforce/alljobs/jobs/93814?src=LinkedIn","https://jobs.dayforcehcm.com/en-US/mydayforce/alljobs/jobs/93814?src=LinkedIn")</f>
      </c>
    </row>
    <row r="876">
      <c r="A876" t="inlineStr">
        <is>
          <t>Microsoft</t>
        </is>
      </c>
      <c r="B876" t="inlineStr">
        <is>
          <t>2026-04-02 13:38:53</t>
        </is>
      </c>
      <c r="C876" t="inlineStr">
        <is>
          <t>69ceb7bd366bb95ba550e2d4</t>
        </is>
      </c>
      <c r="D876" t="inlineStr">
        <is>
          <t>Senior Software Engineer</t>
        </is>
      </c>
      <c r="E876" t="inlineStr">
        <is>
          <t>1_Discovered</t>
        </is>
      </c>
      <c r="F876" t="inlineStr">
        <is>
          <t>fanout_batch</t>
        </is>
      </c>
      <c r="G876" t="inlineStr">
        <is>
          <t>reuse</t>
        </is>
      </c>
      <c r="H876" t="inlineStr">
        <is>
          <t>seed_microsoft_coreai_platform_anchor</t>
        </is>
      </c>
      <c r="I876" t="inlineStr">
        <is>
          <t>Microsoft CoreAI/BIC Platform Anchor</t>
        </is>
      </c>
      <c r="J876"/>
      <c r="K876"/>
      <c r="L876"/>
      <c r="M876"/>
      <c r="N876"/>
      <c r="O876"/>
      <c r="P876"/>
      <c r="Q876"/>
      <c r="R876">
        <f>HYPERLINK("https://apply.careers.microsoft.com/careers/job/1970393556631670?utm_source=linkedin&amp;domain=microsoft.com&amp;src=LinkedIn","https://apply.careers.microsoft.com/careers/job/1970393556631670?utm_source=linkedin&amp;domain=microsoft.com&amp;src=LinkedIn")</f>
      </c>
    </row>
    <row r="877">
      <c r="A877" t="inlineStr">
        <is>
          <t>Photon</t>
        </is>
      </c>
      <c r="B877" t="inlineStr">
        <is>
          <t>2026-04-02 13:32:24</t>
        </is>
      </c>
      <c r="C877" t="inlineStr">
        <is>
          <t>69a78b921fc3d83b780948a8</t>
        </is>
      </c>
      <c r="D877" t="inlineStr">
        <is>
          <t>Artificial Intelligence Engineer</t>
        </is>
      </c>
      <c r="E877" t="inlineStr">
        <is>
          <t>1_Discovered</t>
        </is>
      </c>
      <c r="F877" t="inlineStr">
        <is>
          <t>fanout_batch</t>
        </is>
      </c>
      <c r="G877" t="inlineStr">
        <is>
          <t>retarget</t>
        </is>
      </c>
      <c r="H877" t="inlineStr">
        <is>
          <t>seed_linkedin_mle_foundation</t>
        </is>
      </c>
      <c r="I877" t="inlineStr">
        <is>
          <t>LinkedIn MLE Foundation</t>
        </is>
      </c>
      <c r="J877"/>
      <c r="K877"/>
      <c r="L877"/>
      <c r="M877"/>
      <c r="N877">
        <v>94.7</v>
      </c>
      <c r="O877" t="inlineStr">
        <is>
          <t>pass</t>
        </is>
      </c>
      <c r="P877">
        <f>HYPERLINK("file:///Users/jingyizhang/Documents/Playground/projects/local_job_resume_pipeline/data/deliverables/resume_portfolio/by_company/photon/2026-04-02/69a78b921fc3d83b780948a8/resume.md","/Users/jingyizhang/Documents/Playground/projects/local_job_resume_pipeline/data/deliverables/resume_portfolio/by_company/photon/2026-04-02/69a78b921fc3d83b780948a8/resume.md")</f>
      </c>
      <c r="Q877"/>
      <c r="R877">
        <f>HYPERLINK("https://www.linkedin.com/jobs/view/4379436072","https://www.linkedin.com/jobs/view/4379436072")</f>
      </c>
    </row>
    <row r="878">
      <c r="A878" t="inlineStr">
        <is>
          <t>Takeda</t>
        </is>
      </c>
      <c r="B878" t="inlineStr">
        <is>
          <t>2026-04-02 13:32:05</t>
        </is>
      </c>
      <c r="C878" t="inlineStr">
        <is>
          <t>695e9cdf08ab990f2829de1d</t>
        </is>
      </c>
      <c r="D878" t="inlineStr">
        <is>
          <t>Research Senior Scientist, AI/ML (Biologics)</t>
        </is>
      </c>
      <c r="E878" t="inlineStr">
        <is>
          <t>1_Discovered</t>
        </is>
      </c>
      <c r="F878" t="inlineStr">
        <is>
          <t>fanout_batch</t>
        </is>
      </c>
      <c r="G878" t="inlineStr">
        <is>
          <t>reuse</t>
        </is>
      </c>
      <c r="H878" t="inlineStr">
        <is>
          <t>seed_amazon_agi_ml_anchor</t>
        </is>
      </c>
      <c r="I878" t="inlineStr">
        <is>
          <t>Amazon AGI/LLM Anchor</t>
        </is>
      </c>
      <c r="J878" t="inlineStr">
        <is>
          <t>amazon_ai_ads_mainline</t>
        </is>
      </c>
      <c r="K878" t="inlineStr">
        <is>
          <t>mainline</t>
        </is>
      </c>
      <c r="L878"/>
      <c r="M878"/>
      <c r="N878"/>
      <c r="O878"/>
      <c r="P878"/>
      <c r="Q878"/>
      <c r="R878">
        <f>HYPERLINK("https://www.takedajobs.com/job/-/-/1113/83502438064?source=jobright&amp;utm_source=jobright&amp;utm_medium=job_posting&amp;utm_campaign=Enterprise&amp;utm_content=social_media&amp;utm_term=283784093&amp;ss=paid","https://www.takedajobs.com/job/-/-/1113/83502438064?source=jobright&amp;utm_source=jobright&amp;utm_medium=job_posting&amp;utm_campaign=Enterprise&amp;utm_content=social_media&amp;utm_term=283784093&amp;ss=paid")</f>
      </c>
    </row>
    <row r="879">
      <c r="A879" t="inlineStr">
        <is>
          <t>SharkNinja</t>
        </is>
      </c>
      <c r="B879" t="inlineStr">
        <is>
          <t>2026-04-02 13:30:38</t>
        </is>
      </c>
      <c r="C879" t="inlineStr">
        <is>
          <t>69ceb5ce891d7b11cfccb55b</t>
        </is>
      </c>
      <c r="D879" t="inlineStr">
        <is>
          <t>Fall 2026: Applied AI &amp; Analytics Co-op (July to December)</t>
        </is>
      </c>
      <c r="E879" t="inlineStr">
        <is>
          <t>1_Discovered</t>
        </is>
      </c>
      <c r="F879" t="inlineStr">
        <is>
          <t>seed_validation</t>
        </is>
      </c>
      <c r="G879" t="inlineStr">
        <is>
          <t>retarget</t>
        </is>
      </c>
      <c r="H879" t="inlineStr">
        <is>
          <t>seed_zillow_agentic_mle</t>
        </is>
      </c>
      <c r="I879" t="inlineStr">
        <is>
          <t>Zillow Agentic MLE</t>
        </is>
      </c>
      <c r="J879"/>
      <c r="K879"/>
      <c r="L879"/>
      <c r="M879"/>
      <c r="N879">
        <v>93.6</v>
      </c>
      <c r="O879" t="inlineStr">
        <is>
          <t>pass</t>
        </is>
      </c>
      <c r="P879">
        <f>HYPERLINK("file:///Users/jingyizhang/Documents/Playground/projects/local_job_resume_pipeline/data/deliverables/resume_portfolio/by_company/sharkninja/2026-04-02/69ceb5ce891d7b11cfccb55b/resume.md","/Users/jingyizhang/Documents/Playground/projects/local_job_resume_pipeline/data/deliverables/resume_portfolio/by_company/sharkninja/2026-04-02/69ceb5ce891d7b11cfccb55b/resume.md")</f>
      </c>
      <c r="Q879"/>
      <c r="R879">
        <f>HYPERLINK("https://boards.greenhouse.io/embed/job_app?token=4669676006&amp;utm_source=jobright","https://boards.greenhouse.io/embed/job_app?token=4669676006&amp;utm_source=jobright")</f>
      </c>
    </row>
    <row r="880">
      <c r="A880" t="inlineStr">
        <is>
          <t>Perplexity</t>
        </is>
      </c>
      <c r="B880" t="inlineStr">
        <is>
          <t>2026-04-02 13:30:37</t>
        </is>
      </c>
      <c r="C880" t="inlineStr">
        <is>
          <t>698c4b4f78b4502f12a2d042</t>
        </is>
      </c>
      <c r="D880" t="inlineStr">
        <is>
          <t>Full Stack Software Engineer - Finance</t>
        </is>
      </c>
      <c r="E880" t="inlineStr">
        <is>
          <t>1_Discovered</t>
        </is>
      </c>
      <c r="F880" t="inlineStr">
        <is>
          <t>fanout_batch</t>
        </is>
      </c>
      <c r="G880" t="inlineStr">
        <is>
          <t>reuse</t>
        </is>
      </c>
      <c r="H880" t="inlineStr">
        <is>
          <t>seed_egen_fullstack_node</t>
        </is>
      </c>
      <c r="I880" t="inlineStr">
        <is>
          <t>Egen Fullstack Node</t>
        </is>
      </c>
      <c r="J880"/>
      <c r="K880"/>
      <c r="L880"/>
      <c r="M880"/>
      <c r="N880"/>
      <c r="O880"/>
      <c r="P880"/>
      <c r="Q880"/>
      <c r="R880">
        <f>HYPERLINK("https://jobs.ashbyhq.com/Perplexity/911a7fa6-a2e2-4800-89d3-5f105a01556e/application?utm_source=linkedinpaid","https://jobs.ashbyhq.com/Perplexity/911a7fa6-a2e2-4800-89d3-5f105a01556e/application?utm_source=linkedinpaid")</f>
      </c>
    </row>
    <row r="881">
      <c r="A881" t="inlineStr">
        <is>
          <t>BlackRock</t>
        </is>
      </c>
      <c r="B881" t="inlineStr">
        <is>
          <t>2026-04-02 13:25:56</t>
        </is>
      </c>
      <c r="C881" t="inlineStr">
        <is>
          <t>69b2fe7ead360c0340a81017</t>
        </is>
      </c>
      <c r="D881" t="inlineStr">
        <is>
          <t>Python/Data Engineer - SMA Solutions, Associate</t>
        </is>
      </c>
      <c r="E881" t="inlineStr">
        <is>
          <t>1_Discovered</t>
        </is>
      </c>
      <c r="F881" t="inlineStr">
        <is>
          <t>fanout_batch</t>
        </is>
      </c>
      <c r="G881" t="inlineStr">
        <is>
          <t>retarget</t>
        </is>
      </c>
      <c r="H881" t="inlineStr">
        <is>
          <t>seed_paypal_java_backend</t>
        </is>
      </c>
      <c r="I881" t="inlineStr">
        <is>
          <t>PayPal Java Backend</t>
        </is>
      </c>
      <c r="J881"/>
      <c r="K881"/>
      <c r="L881"/>
      <c r="M881"/>
      <c r="N881">
        <v>95.7</v>
      </c>
      <c r="O881" t="inlineStr">
        <is>
          <t>pass</t>
        </is>
      </c>
      <c r="P881">
        <f>HYPERLINK("file:///Users/jingyizhang/Documents/Playground/projects/local_job_resume_pipeline/data/deliverables/resume_portfolio/by_company/blackrock/2026-04-02/69b2fe7ead360c0340a81017/resume.md","/Users/jingyizhang/Documents/Playground/projects/local_job_resume_pipeline/data/deliverables/resume_portfolio/by_company/blackrock/2026-04-02/69b2fe7ead360c0340a81017/resume.md")</f>
      </c>
      <c r="Q881"/>
      <c r="R881">
        <f>HYPERLINK("https://careers.blackrock.com/job/-/-/45831/89416338272?source=LinkedIn","https://careers.blackrock.com/job/-/-/45831/89416338272?source=LinkedIn")</f>
      </c>
    </row>
    <row r="882">
      <c r="A882" t="inlineStr">
        <is>
          <t>Leviton</t>
        </is>
      </c>
      <c r="B882" t="inlineStr">
        <is>
          <t>2026-04-02 13:20:32</t>
        </is>
      </c>
      <c r="C882" t="inlineStr">
        <is>
          <t>69b20d9665de58104c717a3c</t>
        </is>
      </c>
      <c r="D882" t="inlineStr">
        <is>
          <t>Associate Engineer, Software</t>
        </is>
      </c>
      <c r="E882" t="inlineStr">
        <is>
          <t>1_Discovered</t>
        </is>
      </c>
      <c r="F882" t="inlineStr">
        <is>
          <t>fanout_batch</t>
        </is>
      </c>
      <c r="G882" t="inlineStr">
        <is>
          <t>retarget</t>
        </is>
      </c>
      <c r="H882" t="inlineStr">
        <is>
          <t>seed_microsoft_polyglot_generalist</t>
        </is>
      </c>
      <c r="I882" t="inlineStr">
        <is>
          <t>Microsoft Polyglot Generalist</t>
        </is>
      </c>
      <c r="J882"/>
      <c r="K882"/>
      <c r="L882"/>
      <c r="M882"/>
      <c r="N882">
        <v>94.1</v>
      </c>
      <c r="O882" t="inlineStr">
        <is>
          <t>pass</t>
        </is>
      </c>
      <c r="P882">
        <f>HYPERLINK("file:///Users/jingyizhang/Documents/Playground/projects/local_job_resume_pipeline/data/deliverables/resume_portfolio/by_company/leviton/2026-04-02/69b20d9665de58104c717a3c/resume.md","/Users/jingyizhang/Documents/Playground/projects/local_job_resume_pipeline/data/deliverables/resume_portfolio/by_company/leviton/2026-04-02/69b20d9665de58104c717a3c/resume.md")</f>
      </c>
      <c r="Q882"/>
      <c r="R882">
        <f>HYPERLINK("https://careers.leviton.com/jobs/5793/Associate+Engineer,+Software?lang=en-US&amp;mode=apply&amp;iis=LinkedIn","https://careers.leviton.com/jobs/5793/Associate+Engineer,+Software?lang=en-US&amp;mode=apply&amp;iis=LinkedIn")</f>
      </c>
    </row>
    <row r="883">
      <c r="A883" t="inlineStr">
        <is>
          <t>Goldman Sachs</t>
        </is>
      </c>
      <c r="B883" t="inlineStr">
        <is>
          <t>2026-04-02 13:18:09</t>
        </is>
      </c>
      <c r="C883" t="inlineStr">
        <is>
          <t>69956efae0bddb6acac403b9</t>
        </is>
      </c>
      <c r="D883" t="inlineStr">
        <is>
          <t>Software Engineer, Global Banking &amp; Markets, Investment Banking</t>
        </is>
      </c>
      <c r="E883" t="inlineStr">
        <is>
          <t>1_Discovered</t>
        </is>
      </c>
      <c r="F883" t="inlineStr">
        <is>
          <t>fanout_batch</t>
        </is>
      </c>
      <c r="G883" t="inlineStr">
        <is>
          <t>reuse</t>
        </is>
      </c>
      <c r="H883" t="inlineStr">
        <is>
          <t>seed_paypal_java_backend</t>
        </is>
      </c>
      <c r="I883" t="inlineStr">
        <is>
          <t>PayPal Java Backend</t>
        </is>
      </c>
      <c r="J883"/>
      <c r="K883"/>
      <c r="L883"/>
      <c r="M883"/>
      <c r="N883"/>
      <c r="O883"/>
      <c r="P883"/>
      <c r="Q883"/>
      <c r="R883">
        <f>HYPERLINK("https://hdpc.fa.us2.oraclecloud.com/hcmUI/CandidateExperience/en/job/161630/?utm_medium=jobshare&amp;mode=job&amp;iis=LinkedIn","https://hdpc.fa.us2.oraclecloud.com/hcmUI/CandidateExperience/en/job/161630/?utm_medium=jobshare&amp;mode=job&amp;iis=LinkedIn")</f>
      </c>
    </row>
    <row r="884">
      <c r="A884" t="inlineStr">
        <is>
          <t>Capstone Investment Advisors</t>
        </is>
      </c>
      <c r="B884" t="inlineStr">
        <is>
          <t>2026-04-02 13:16:35</t>
        </is>
      </c>
      <c r="C884" t="inlineStr">
        <is>
          <t>6994adb3ce78e77b4fd8ad08</t>
        </is>
      </c>
      <c r="D884" t="inlineStr">
        <is>
          <t>Data Engineer</t>
        </is>
      </c>
      <c r="E884" t="inlineStr">
        <is>
          <t>1_Discovered</t>
        </is>
      </c>
      <c r="F884" t="inlineStr">
        <is>
          <t>fanout_batch</t>
        </is>
      </c>
      <c r="G884" t="inlineStr">
        <is>
          <t>reuse</t>
        </is>
      </c>
      <c r="H884" t="inlineStr">
        <is>
          <t>seed_qualified_health_data_engineer</t>
        </is>
      </c>
      <c r="I884" t="inlineStr">
        <is>
          <t>Qualified Health Data Engineer</t>
        </is>
      </c>
      <c r="J884"/>
      <c r="K884"/>
      <c r="L884"/>
      <c r="M884"/>
      <c r="N884"/>
      <c r="O884"/>
      <c r="P884"/>
      <c r="Q884"/>
      <c r="R884">
        <f>HYPERLINK("https://boards.greenhouse.io/embed/job_app?token=8425586002&amp;utm_source=jobright","https://boards.greenhouse.io/embed/job_app?token=8425586002&amp;utm_source=jobright")</f>
      </c>
    </row>
    <row r="885">
      <c r="A885" t="inlineStr">
        <is>
          <t>Arkhya Tech. Inc.</t>
        </is>
      </c>
      <c r="B885" t="inlineStr">
        <is>
          <t>2026-04-02 13:13:35</t>
        </is>
      </c>
      <c r="C885" t="inlineStr">
        <is>
          <t>69ceb1cf891d7b11cfccb3ff</t>
        </is>
      </c>
      <c r="D885" t="inlineStr">
        <is>
          <t>GenAI / AI-ML Engineer</t>
        </is>
      </c>
      <c r="E885" t="inlineStr">
        <is>
          <t>1_Discovered</t>
        </is>
      </c>
      <c r="F885" t="inlineStr">
        <is>
          <t>fanout_batch</t>
        </is>
      </c>
      <c r="G885" t="inlineStr">
        <is>
          <t>retarget</t>
        </is>
      </c>
      <c r="H885" t="inlineStr">
        <is>
          <t>seed_linkedin_mle_foundation</t>
        </is>
      </c>
      <c r="I885" t="inlineStr">
        <is>
          <t>LinkedIn MLE Foundation</t>
        </is>
      </c>
      <c r="J885"/>
      <c r="K885"/>
      <c r="L885"/>
      <c r="M885"/>
      <c r="N885">
        <v>100.0</v>
      </c>
      <c r="O885" t="inlineStr">
        <is>
          <t>pass</t>
        </is>
      </c>
      <c r="P885">
        <f>HYPERLINK("file:///Users/jingyizhang/Documents/Playground/projects/local_job_resume_pipeline/data/deliverables/resume_portfolio/by_company/arkhya-tech-inc/2026-04-02/69ceb1cf891d7b11cfccb3ff/resume.md","/Users/jingyizhang/Documents/Playground/projects/local_job_resume_pipeline/data/deliverables/resume_portfolio/by_company/arkhya-tech-inc/2026-04-02/69ceb1cf891d7b11cfccb3ff/resume.md")</f>
      </c>
      <c r="Q885"/>
      <c r="R885">
        <f>HYPERLINK("https://www.linkedin.com/jobs/view/4395364449","https://www.linkedin.com/jobs/view/4395364449")</f>
      </c>
    </row>
    <row r="886">
      <c r="A886" t="inlineStr">
        <is>
          <t>Magna International</t>
        </is>
      </c>
      <c r="B886" t="inlineStr">
        <is>
          <t>2026-04-02 13:06:53</t>
        </is>
      </c>
      <c r="C886" t="inlineStr">
        <is>
          <t>69ceb03d366bb95ba550e085</t>
        </is>
      </c>
      <c r="D886" t="inlineStr">
        <is>
          <t>Sr. Software Engineer - Backend</t>
        </is>
      </c>
      <c r="E886" t="inlineStr">
        <is>
          <t>1_Discovered</t>
        </is>
      </c>
      <c r="F886" t="inlineStr">
        <is>
          <t>fanout_batch</t>
        </is>
      </c>
      <c r="G886" t="inlineStr">
        <is>
          <t>retarget</t>
        </is>
      </c>
      <c r="H886" t="inlineStr">
        <is>
          <t>seed_paypal_java_backend</t>
        </is>
      </c>
      <c r="I886" t="inlineStr">
        <is>
          <t>PayPal Java Backend</t>
        </is>
      </c>
      <c r="J886"/>
      <c r="K886"/>
      <c r="L886"/>
      <c r="M886"/>
      <c r="N886">
        <v>93.9</v>
      </c>
      <c r="O886" t="inlineStr">
        <is>
          <t>pass</t>
        </is>
      </c>
      <c r="P886">
        <f>HYPERLINK("file:///Users/jingyizhang/Documents/Playground/projects/local_job_resume_pipeline/data/deliverables/resume_portfolio/by_company/magna-international/2026-04-02/69ceb03d366bb95ba550e085/resume.md","/Users/jingyizhang/Documents/Playground/projects/local_job_resume_pipeline/data/deliverables/resume_portfolio/by_company/magna-international/2026-04-02/69ceb03d366bb95ba550e085/resume.md")</f>
      </c>
      <c r="Q886"/>
      <c r="R886">
        <f>HYPERLINK("https://wd3.myworkdaysite.com/recruiting/magna/Magna/job/Lowell-Massachusetts-US/Sr-Software-Engineer---Backend_R00237479?source=LinkedIn","https://wd3.myworkdaysite.com/recruiting/magna/Magna/job/Lowell-Massachusetts-US/Sr-Software-Engineer---Backend_R00237479?source=LinkedIn")</f>
      </c>
    </row>
    <row r="887">
      <c r="A887" t="inlineStr">
        <is>
          <t>Citi</t>
        </is>
      </c>
      <c r="B887" t="inlineStr">
        <is>
          <t>2026-04-02 12:55:06</t>
        </is>
      </c>
      <c r="C887" t="inlineStr">
        <is>
          <t>69cd2d71398fb071abf729b9</t>
        </is>
      </c>
      <c r="D887" t="inlineStr">
        <is>
          <t>Data Scientist, Generative AI - Spread Products</t>
        </is>
      </c>
      <c r="E887" t="inlineStr">
        <is>
          <t>1_Discovered</t>
        </is>
      </c>
      <c r="F887" t="inlineStr">
        <is>
          <t>fanout_batch</t>
        </is>
      </c>
      <c r="G887" t="inlineStr">
        <is>
          <t>retarget</t>
        </is>
      </c>
      <c r="H887" t="inlineStr">
        <is>
          <t>seed_bytedance_ml_grad</t>
        </is>
      </c>
      <c r="I887" t="inlineStr">
        <is>
          <t>ByteDance ML Grad</t>
        </is>
      </c>
      <c r="J887"/>
      <c r="K887"/>
      <c r="L887"/>
      <c r="M887"/>
      <c r="N887">
        <v>94.7</v>
      </c>
      <c r="O887" t="inlineStr">
        <is>
          <t>pass</t>
        </is>
      </c>
      <c r="P887">
        <f>HYPERLINK("file:///Users/jingyizhang/Documents/Playground/projects/local_job_resume_pipeline/data/deliverables/resume_portfolio/by_company/citi/2026-04-02/69cd2d71398fb071abf729b9/resume.md","/Users/jingyizhang/Documents/Playground/projects/local_job_resume_pipeline/data/deliverables/resume_portfolio/by_company/citi/2026-04-02/69cd2d71398fb071abf729b9/resume.md")</f>
      </c>
      <c r="Q887"/>
      <c r="R887">
        <f>HYPERLINK("https://jobs.citi.com/job/-/-/287/92603640576?source=APPLICANT_SOURCE-3-354&amp;utm_medium=job_posting&amp;utm_campaign=nam_experienced&amp;utm_content=social_media&amp;utm_term=393702677&amp;ss=paid&amp;utm_source=jobright","https://jobs.citi.com/job/-/-/287/92603640576?source=APPLICANT_SOURCE-3-354&amp;utm_medium=job_posting&amp;utm_campaign=nam_experienced&amp;utm_content=social_media&amp;utm_term=393702677&amp;ss=paid&amp;utm_source=jobright")</f>
      </c>
    </row>
    <row r="888">
      <c r="A888" t="inlineStr">
        <is>
          <t>Altos Labs</t>
        </is>
      </c>
      <c r="B888" t="inlineStr">
        <is>
          <t>2026-04-02 12:54:02</t>
        </is>
      </c>
      <c r="C888" t="inlineStr">
        <is>
          <t>6924e563ec574f4265bb8a10</t>
        </is>
      </c>
      <c r="D888" t="inlineStr">
        <is>
          <t>Machine Learning Engineer/Machine Learning Scientist , Multi Modality</t>
        </is>
      </c>
      <c r="E888" t="inlineStr">
        <is>
          <t>1_Discovered</t>
        </is>
      </c>
      <c r="F888" t="inlineStr">
        <is>
          <t>fanout_batch</t>
        </is>
      </c>
      <c r="G888" t="inlineStr">
        <is>
          <t>retarget</t>
        </is>
      </c>
      <c r="H888" t="inlineStr">
        <is>
          <t>seed_h2o_ai_engineer</t>
        </is>
      </c>
      <c r="I888" t="inlineStr">
        <is>
          <t>H2O AI Engineer</t>
        </is>
      </c>
      <c r="J888"/>
      <c r="K888"/>
      <c r="L888"/>
      <c r="M888"/>
      <c r="N888">
        <v>93.8</v>
      </c>
      <c r="O888" t="inlineStr">
        <is>
          <t>pass</t>
        </is>
      </c>
      <c r="P888">
        <f>HYPERLINK("file:///Users/jingyizhang/Documents/Playground/projects/local_job_resume_pipeline/data/deliverables/resume_portfolio/by_company/altos-labs/2026-04-02/6924e563ec574f4265bb8a10/resume.md","/Users/jingyizhang/Documents/Playground/projects/local_job_resume_pipeline/data/deliverables/resume_portfolio/by_company/altos-labs/2026-04-02/6924e563ec574f4265bb8a10/resume.md")</f>
      </c>
      <c r="Q888"/>
      <c r="R888">
        <f>HYPERLINK("https://boards.greenhouse.io/embed/job_app?token=5709084004&amp;utm_source=jobright","https://boards.greenhouse.io/embed/job_app?token=5709084004&amp;utm_source=jobright")</f>
      </c>
    </row>
    <row r="889">
      <c r="A889" t="inlineStr">
        <is>
          <t>Perplexity</t>
        </is>
      </c>
      <c r="B889" t="inlineStr">
        <is>
          <t>2026-04-02 12:38:49</t>
        </is>
      </c>
      <c r="C889" t="inlineStr">
        <is>
          <t>698be01f06d9b06224960aba</t>
        </is>
      </c>
      <c r="D889" t="inlineStr">
        <is>
          <t>Full Stack Software Engineer - Growth</t>
        </is>
      </c>
      <c r="E889" t="inlineStr">
        <is>
          <t>1_Discovered</t>
        </is>
      </c>
      <c r="F889" t="inlineStr">
        <is>
          <t>fanout_batch</t>
        </is>
      </c>
      <c r="G889" t="inlineStr">
        <is>
          <t>reuse</t>
        </is>
      </c>
      <c r="H889" t="inlineStr">
        <is>
          <t>seed_codex_google_fullstack</t>
        </is>
      </c>
      <c r="I889" t="inlineStr">
        <is>
          <t>Google Full Stack</t>
        </is>
      </c>
      <c r="J889" t="inlineStr">
        <is>
          <t>google_product_ai_mainline</t>
        </is>
      </c>
      <c r="K889" t="inlineStr">
        <is>
          <t>mainline</t>
        </is>
      </c>
      <c r="L889"/>
      <c r="M889"/>
      <c r="N889"/>
      <c r="O889"/>
      <c r="P889"/>
      <c r="Q889"/>
      <c r="R889">
        <f>HYPERLINK("https://jobs.ashbyhq.com/Perplexity/9917ce6e-bd59-4d79-a8d2-ca47827bf9e2/application?utm_source=linkedinpaid","https://jobs.ashbyhq.com/Perplexity/9917ce6e-bd59-4d79-a8d2-ca47827bf9e2/application?utm_source=linkedinpaid")</f>
      </c>
    </row>
    <row r="890">
      <c r="A890" t="inlineStr">
        <is>
          <t>Spotify</t>
        </is>
      </c>
      <c r="B890" t="inlineStr">
        <is>
          <t>2026-04-02 12:37:15</t>
        </is>
      </c>
      <c r="C890" t="inlineStr">
        <is>
          <t>69cea94b366bb95ba550de01</t>
        </is>
      </c>
      <c r="D890" t="inlineStr">
        <is>
          <t>Backend Engineer - Music Mission</t>
        </is>
      </c>
      <c r="E890" t="inlineStr">
        <is>
          <t>1_Discovered</t>
        </is>
      </c>
      <c r="F890" t="inlineStr">
        <is>
          <t>seed_source</t>
        </is>
      </c>
      <c r="G890" t="inlineStr">
        <is>
          <t>seed_source</t>
        </is>
      </c>
      <c r="H890" t="inlineStr">
        <is>
          <t>seed_spotify_backend_music</t>
        </is>
      </c>
      <c r="I890" t="inlineStr">
        <is>
          <t>Spotify Backend Music</t>
        </is>
      </c>
      <c r="J890"/>
      <c r="K890"/>
      <c r="L890"/>
      <c r="M890"/>
      <c r="N890">
        <v>94.3</v>
      </c>
      <c r="O890" t="inlineStr">
        <is>
          <t>pass</t>
        </is>
      </c>
      <c r="P890">
        <f>HYPERLINK("file:///Users/jingyizhang/Documents/Playground/projects/local_job_resume_pipeline/data/deliverables/resume_portfolio/by_company/spotify/2026-04-02/69cea94b366bb95ba550de01/resume.md","/Users/jingyizhang/Documents/Playground/projects/local_job_resume_pipeline/data/deliverables/resume_portfolio/by_company/spotify/2026-04-02/69cea94b366bb95ba550de01/resume.md")</f>
      </c>
      <c r="Q890"/>
      <c r="R890">
        <f>HYPERLINK("https://jobs.lever.co/spotify/19c5ea15-6f4d-425a-911c-c3f0ae086f8f?lever-source=jobright","https://jobs.lever.co/spotify/19c5ea15-6f4d-425a-911c-c3f0ae086f8f?lever-source=jobright")</f>
      </c>
    </row>
    <row r="891">
      <c r="A891" t="inlineStr">
        <is>
          <t>Capital One</t>
        </is>
      </c>
      <c r="B891" t="inlineStr">
        <is>
          <t>2026-04-02 12:35:48</t>
        </is>
      </c>
      <c r="C891" t="inlineStr">
        <is>
          <t>6979134a52f3c27ec645597f</t>
        </is>
      </c>
      <c r="D891" t="inlineStr">
        <is>
          <t>Applied Researcher I (Multi-agent Systems, Knowledge Graphs/GraphRAG/Graph-of-Thought / GoT, MCP, LangGraph, Agent Protocols)</t>
        </is>
      </c>
      <c r="E891" t="inlineStr">
        <is>
          <t>1_Discovered</t>
        </is>
      </c>
      <c r="F891" t="inlineStr">
        <is>
          <t>fanout_batch</t>
        </is>
      </c>
      <c r="G891" t="inlineStr">
        <is>
          <t>reuse</t>
        </is>
      </c>
      <c r="H891" t="inlineStr">
        <is>
          <t>seed_bytedance_ml_grad</t>
        </is>
      </c>
      <c r="I891" t="inlineStr">
        <is>
          <t>ByteDance ML Grad</t>
        </is>
      </c>
      <c r="J891"/>
      <c r="K891"/>
      <c r="L891"/>
      <c r="M891"/>
      <c r="N891"/>
      <c r="O891"/>
      <c r="P891"/>
      <c r="Q891"/>
      <c r="R891">
        <f>HYPERLINK("https://www.capitalonecareers.com/job/-/-/234/91060978240?p_sid=jafaxrb&amp;p_uid=Zc1t9P2iT2&amp;source=jobright&amp;ss=paid&amp;utm_campaign=tech_26&amp;utm_content=pj_board&amp;utm_medium=jobad&amp;utm_source=jobright","https://www.capitalonecareers.com/job/-/-/234/91060978240?p_sid=jafaxrb&amp;p_uid=Zc1t9P2iT2&amp;source=jobright&amp;ss=paid&amp;utm_campaign=tech_26&amp;utm_content=pj_board&amp;utm_medium=jobad&amp;utm_source=jobright")</f>
      </c>
    </row>
    <row r="892">
      <c r="A892" t="inlineStr">
        <is>
          <t>FlexTrade</t>
        </is>
      </c>
      <c r="B892" t="inlineStr">
        <is>
          <t>2026-04-02 12:27:22</t>
        </is>
      </c>
      <c r="C892" t="inlineStr">
        <is>
          <t>69cea6facdb525785fb99d09</t>
        </is>
      </c>
      <c r="D892" t="inlineStr">
        <is>
          <t>Software Developer</t>
        </is>
      </c>
      <c r="E892" t="inlineStr">
        <is>
          <t>1_Discovered</t>
        </is>
      </c>
      <c r="F892" t="inlineStr">
        <is>
          <t>fanout_batch</t>
        </is>
      </c>
      <c r="G892" t="inlineStr">
        <is>
          <t>retarget</t>
        </is>
      </c>
      <c r="H892" t="inlineStr">
        <is>
          <t>seed_jpmc_data_mlops_anchor</t>
        </is>
      </c>
      <c r="I892" t="inlineStr">
        <is>
          <t>JPMorganChase Data Platform/MLOps Anchor</t>
        </is>
      </c>
      <c r="J892" t="inlineStr">
        <is>
          <t>jpmc_data_mlops_mainline</t>
        </is>
      </c>
      <c r="K892" t="inlineStr">
        <is>
          <t>mainline</t>
        </is>
      </c>
      <c r="L892"/>
      <c r="M892"/>
      <c r="N892">
        <v>94.7</v>
      </c>
      <c r="O892" t="inlineStr">
        <is>
          <t>pass</t>
        </is>
      </c>
      <c r="P892">
        <f>HYPERLINK("file:///Users/jingyizhang/Documents/Playground/projects/local_job_resume_pipeline/data/deliverables/resume_portfolio/by_company/flextrade/2026-04-02/69cea6facdb525785fb99d09/resume.md","/Users/jingyizhang/Documents/Playground/projects/local_job_resume_pipeline/data/deliverables/resume_portfolio/by_company/flextrade/2026-04-02/69cea6facdb525785fb99d09/resume.md")</f>
      </c>
      <c r="Q892"/>
      <c r="R892">
        <f>HYPERLINK("https://careers.flextrade.com/o/software-developer-2031/c/new?source=LinkedIn+Basic+Jobs","https://careers.flextrade.com/o/software-developer-2031/c/new?source=LinkedIn+Basic+Jobs")</f>
      </c>
    </row>
    <row r="893">
      <c r="A893" t="inlineStr">
        <is>
          <t>American Electric Power</t>
        </is>
      </c>
      <c r="B893" t="inlineStr">
        <is>
          <t>2026-04-02 12:25:22</t>
        </is>
      </c>
      <c r="C893" t="inlineStr">
        <is>
          <t>69cea682366bb95ba550dad4</t>
        </is>
      </c>
      <c r="D893" t="inlineStr">
        <is>
          <t>Data Scientist Associate - Data Scientist Sr.</t>
        </is>
      </c>
      <c r="E893" t="inlineStr">
        <is>
          <t>1_Discovered</t>
        </is>
      </c>
      <c r="F893" t="inlineStr">
        <is>
          <t>fanout_batch</t>
        </is>
      </c>
      <c r="G893" t="inlineStr">
        <is>
          <t>reuse</t>
        </is>
      </c>
      <c r="H893" t="inlineStr">
        <is>
          <t>seed_plaid_data_scientist</t>
        </is>
      </c>
      <c r="I893" t="inlineStr">
        <is>
          <t>Plaid Data Scientist</t>
        </is>
      </c>
      <c r="J893"/>
      <c r="K893"/>
      <c r="L893"/>
      <c r="M893"/>
      <c r="N893"/>
      <c r="O893"/>
      <c r="P893"/>
      <c r="Q893"/>
      <c r="R893">
        <f>HYPERLINK("https://aep.wd1.myworkdayjobs.com/aepcareersite/job/Ft-Wayne-IN/Data-Scientist-Associate---Data-Scientist-Sr_R14489","https://aep.wd1.myworkdayjobs.com/aepcareersite/job/Ft-Wayne-IN/Data-Scientist-Associate---Data-Scientist-Sr_R14489")</f>
      </c>
    </row>
    <row r="894">
      <c r="A894" t="inlineStr">
        <is>
          <t>CVS Health</t>
        </is>
      </c>
      <c r="B894" t="inlineStr">
        <is>
          <t>2026-04-02 11:59:37</t>
        </is>
      </c>
      <c r="C894" t="inlineStr">
        <is>
          <t>69cea079398fb071abf87380</t>
        </is>
      </c>
      <c r="D894" t="inlineStr">
        <is>
          <t>Senior Data Scientist</t>
        </is>
      </c>
      <c r="E894" t="inlineStr">
        <is>
          <t>1_Discovered</t>
        </is>
      </c>
      <c r="F894" t="inlineStr">
        <is>
          <t>fanout_batch</t>
        </is>
      </c>
      <c r="G894" t="inlineStr">
        <is>
          <t>retarget</t>
        </is>
      </c>
      <c r="H894" t="inlineStr">
        <is>
          <t>seed_h2o_ai_engineer</t>
        </is>
      </c>
      <c r="I894" t="inlineStr">
        <is>
          <t>H2O AI Engineer</t>
        </is>
      </c>
      <c r="J894"/>
      <c r="K894"/>
      <c r="L894"/>
      <c r="M894"/>
      <c r="N894">
        <v>93.8</v>
      </c>
      <c r="O894" t="inlineStr">
        <is>
          <t>pass</t>
        </is>
      </c>
      <c r="P894">
        <f>HYPERLINK("file:///Users/jingyizhang/Documents/Playground/projects/local_job_resume_pipeline/data/deliverables/resume_portfolio/by_company/cvs-health/2026-04-02/69cea079398fb071abf87380/resume.md","/Users/jingyizhang/Documents/Playground/projects/local_job_resume_pipeline/data/deliverables/resume_portfolio/by_company/cvs-health/2026-04-02/69cea079398fb071abf87380/resume.md")</f>
      </c>
      <c r="Q894"/>
      <c r="R894">
        <f>HYPERLINK("https://jobs.cvshealth.com/us/en/job/CVSCHLUSR0870541EXTERNALENUS/Senior-Data-Scientist?utm_source=Linkedin&amp;utm_medium=phenom-feeds","https://jobs.cvshealth.com/us/en/job/CVSCHLUSR0870541EXTERNALENUS/Senior-Data-Scientist?utm_source=Linkedin&amp;utm_medium=phenom-feeds")</f>
      </c>
    </row>
    <row r="895">
      <c r="A895" t="inlineStr">
        <is>
          <t>Aurora</t>
        </is>
      </c>
      <c r="B895" t="inlineStr">
        <is>
          <t>2026-04-02 11:51:08</t>
        </is>
      </c>
      <c r="C895" t="inlineStr">
        <is>
          <t>69ce9e7c891d7b11cfcca7a1</t>
        </is>
      </c>
      <c r="D895" t="inlineStr">
        <is>
          <t>Software Engineer - Platform</t>
        </is>
      </c>
      <c r="E895" t="inlineStr">
        <is>
          <t>1_Discovered</t>
        </is>
      </c>
      <c r="F895" t="inlineStr">
        <is>
          <t>fanout_batch</t>
        </is>
      </c>
      <c r="G895" t="inlineStr">
        <is>
          <t>reuse</t>
        </is>
      </c>
      <c r="H895" t="inlineStr">
        <is>
          <t>seed_microsoft_polyglot_generalist</t>
        </is>
      </c>
      <c r="I895" t="inlineStr">
        <is>
          <t>Microsoft Polyglot Generalist</t>
        </is>
      </c>
      <c r="J895"/>
      <c r="K895"/>
      <c r="L895"/>
      <c r="M895"/>
      <c r="N895"/>
      <c r="O895"/>
      <c r="P895"/>
      <c r="Q895"/>
      <c r="R895">
        <f>HYPERLINK("https://www.aurora-jobs.com/appraisal/69c25e6aacded060c9f1dbb2?utm_source=linkedin&amp;utm_medium=paid&amp;utm_campaign=Software+Engineer+-+Platform+%40Aaru+-+Boston","https://www.aurora-jobs.com/appraisal/69c25e6aacded060c9f1dbb2?utm_source=linkedin&amp;utm_medium=paid&amp;utm_campaign=Software+Engineer+-+Platform+%40Aaru+-+Boston")</f>
      </c>
    </row>
    <row r="896">
      <c r="A896" t="inlineStr">
        <is>
          <t>NYU Langone Health</t>
        </is>
      </c>
      <c r="B896" t="inlineStr">
        <is>
          <t>2026-04-02 11:50:07</t>
        </is>
      </c>
      <c r="C896" t="inlineStr">
        <is>
          <t>69ce9e3f891d7b11cfcca609</t>
        </is>
      </c>
      <c r="D896" t="inlineStr">
        <is>
          <t>Data Analyst</t>
        </is>
      </c>
      <c r="E896" t="inlineStr">
        <is>
          <t>1_Discovered</t>
        </is>
      </c>
      <c r="F896" t="inlineStr">
        <is>
          <t>fanout_batch</t>
        </is>
      </c>
      <c r="G896" t="inlineStr">
        <is>
          <t>reuse</t>
        </is>
      </c>
      <c r="H896" t="inlineStr">
        <is>
          <t>seed_plaid_data_scientist</t>
        </is>
      </c>
      <c r="I896" t="inlineStr">
        <is>
          <t>Plaid Data Scientist</t>
        </is>
      </c>
      <c r="J896"/>
      <c r="K896"/>
      <c r="L896"/>
      <c r="M896"/>
      <c r="N896"/>
      <c r="O896"/>
      <c r="P896"/>
      <c r="Q896"/>
      <c r="R896">
        <f>HYPERLINK("https://NYU.contacthr.com/151677489","https://NYU.contacthr.com/151677489")</f>
      </c>
    </row>
    <row r="897">
      <c r="A897" t="inlineStr">
        <is>
          <t>Equifax</t>
        </is>
      </c>
      <c r="B897" t="inlineStr">
        <is>
          <t>2026-04-02 11:49:00</t>
        </is>
      </c>
      <c r="C897" t="inlineStr">
        <is>
          <t>69ce9dfc891d7b11cfcca48b</t>
        </is>
      </c>
      <c r="D897" t="inlineStr">
        <is>
          <t>Data Scientist - Analytics Capability</t>
        </is>
      </c>
      <c r="E897" t="inlineStr">
        <is>
          <t>1_Discovered</t>
        </is>
      </c>
      <c r="F897" t="inlineStr">
        <is>
          <t>fanout_batch</t>
        </is>
      </c>
      <c r="G897" t="inlineStr">
        <is>
          <t>reuse</t>
        </is>
      </c>
      <c r="H897" t="inlineStr">
        <is>
          <t>seed_plaid_data_scientist</t>
        </is>
      </c>
      <c r="I897" t="inlineStr">
        <is>
          <t>Plaid Data Scientist</t>
        </is>
      </c>
      <c r="J897"/>
      <c r="K897"/>
      <c r="L897"/>
      <c r="M897"/>
      <c r="N897"/>
      <c r="O897"/>
      <c r="P897"/>
      <c r="Q897"/>
      <c r="R897">
        <f>HYPERLINK("https://equifax.wd5.myworkdayjobs.com/external/job/USA---Atlanta---One-Atlantic-Center/Data-Scientist---Analytics-Capability_J00176040","https://equifax.wd5.myworkdayjobs.com/external/job/USA---Atlanta---One-Atlantic-Center/Data-Scientist---Analytics-Capability_J00176040")</f>
      </c>
    </row>
    <row r="898">
      <c r="A898" t="inlineStr">
        <is>
          <t>OneMain Financial</t>
        </is>
      </c>
      <c r="B898" t="inlineStr">
        <is>
          <t>2026-04-02 11:46:09</t>
        </is>
      </c>
      <c r="C898" t="inlineStr">
        <is>
          <t>69ce9d51398fb071abf86c1c</t>
        </is>
      </c>
      <c r="D898" t="inlineStr">
        <is>
          <t>Engineer - Software (Part-Time)</t>
        </is>
      </c>
      <c r="E898" t="inlineStr">
        <is>
          <t>1_Discovered</t>
        </is>
      </c>
      <c r="F898" t="inlineStr">
        <is>
          <t>seed_validation</t>
        </is>
      </c>
      <c r="G898" t="inlineStr">
        <is>
          <t>reuse</t>
        </is>
      </c>
      <c r="H898" t="inlineStr">
        <is>
          <t>seed_generalist_dotnet_enterprise</t>
        </is>
      </c>
      <c r="I898" t="inlineStr">
        <is>
          <t>Generalist DotNet Enterprise</t>
        </is>
      </c>
      <c r="J898"/>
      <c r="K898"/>
      <c r="L898"/>
      <c r="M898"/>
      <c r="N898"/>
      <c r="O898"/>
      <c r="P898"/>
      <c r="Q898"/>
      <c r="R898">
        <f>HYPERLINK("https://myhrhome.wd1.myworkdayjobs.com/onemaincareers/job/West-Valley-City-UT/Engineer---Software--Part-Time-_R2603-50223","https://myhrhome.wd1.myworkdayjobs.com/onemaincareers/job/West-Valley-City-UT/Engineer---Software--Part-Time-_R2603-50223")</f>
      </c>
    </row>
    <row r="899">
      <c r="A899" t="inlineStr">
        <is>
          <t>Silicon Valley Bank</t>
        </is>
      </c>
      <c r="B899" t="inlineStr">
        <is>
          <t>2026-04-02 11:38:08</t>
        </is>
      </c>
      <c r="C899" t="inlineStr">
        <is>
          <t>69783b9888e2b47213bc447f</t>
        </is>
      </c>
      <c r="D899" t="inlineStr">
        <is>
          <t>Senior Software Engineer - Java (Remote)</t>
        </is>
      </c>
      <c r="E899" t="inlineStr">
        <is>
          <t>1_Discovered</t>
        </is>
      </c>
      <c r="F899" t="inlineStr">
        <is>
          <t>fanout_batch</t>
        </is>
      </c>
      <c r="G899" t="inlineStr">
        <is>
          <t>reuse</t>
        </is>
      </c>
      <c r="H899" t="inlineStr">
        <is>
          <t>seed_cisco_backend_api</t>
        </is>
      </c>
      <c r="I899" t="inlineStr">
        <is>
          <t>Cisco Backend API</t>
        </is>
      </c>
      <c r="J899"/>
      <c r="K899"/>
      <c r="L899"/>
      <c r="M899"/>
      <c r="N899"/>
      <c r="O899"/>
      <c r="P899"/>
      <c r="Q899"/>
      <c r="R899">
        <f>HYPERLINK("https://jobs.firstcitizens.com/jobs/30713?lang=en-us&amp;iis=Social+Media/Job+Boards&amp;iisn=LinkedIn","https://jobs.firstcitizens.com/jobs/30713?lang=en-us&amp;iis=Social+Media/Job+Boards&amp;iisn=LinkedIn")</f>
      </c>
    </row>
    <row r="900">
      <c r="A900" t="inlineStr">
        <is>
          <t>Natsoft</t>
        </is>
      </c>
      <c r="B900" t="inlineStr">
        <is>
          <t>2026-04-02 11:35:44</t>
        </is>
      </c>
      <c r="C900" t="inlineStr">
        <is>
          <t>69cece4f891d7b11cfcccc3b</t>
        </is>
      </c>
      <c r="D900" t="inlineStr">
        <is>
          <t>Artificial Intelligence Engineer</t>
        </is>
      </c>
      <c r="E900" t="inlineStr">
        <is>
          <t>1_Discovered</t>
        </is>
      </c>
      <c r="F900" t="inlineStr">
        <is>
          <t>fanout_batch</t>
        </is>
      </c>
      <c r="G900" t="inlineStr">
        <is>
          <t>retarget</t>
        </is>
      </c>
      <c r="H900" t="inlineStr">
        <is>
          <t>seed_h2o_ai_engineer</t>
        </is>
      </c>
      <c r="I900" t="inlineStr">
        <is>
          <t>H2O AI Engineer</t>
        </is>
      </c>
      <c r="J900"/>
      <c r="K900"/>
      <c r="L900"/>
      <c r="M900"/>
      <c r="N900">
        <v>95.6</v>
      </c>
      <c r="O900" t="inlineStr">
        <is>
          <t>pass</t>
        </is>
      </c>
      <c r="P900">
        <f>HYPERLINK("file:///Users/jingyizhang/Documents/Playground/projects/local_job_resume_pipeline/data/deliverables/resume_portfolio/by_company/natsoft/2026-04-02/69cece4f891d7b11cfcccc3b/resume.md","/Users/jingyizhang/Documents/Playground/projects/local_job_resume_pipeline/data/deliverables/resume_portfolio/by_company/natsoft/2026-04-02/69cece4f891d7b11cfcccc3b/resume.md")</f>
      </c>
      <c r="Q900"/>
      <c r="R900">
        <f>HYPERLINK("https://www.linkedin.com/jobs/view/4395345783","https://www.linkedin.com/jobs/view/4395345783")</f>
      </c>
    </row>
    <row r="901">
      <c r="A901" t="inlineStr">
        <is>
          <t>Latitude AI</t>
        </is>
      </c>
      <c r="B901" t="inlineStr">
        <is>
          <t>2026-04-02 11:31:59</t>
        </is>
      </c>
      <c r="C901" t="inlineStr">
        <is>
          <t>69ce99ff366bb95ba550d1ae</t>
        </is>
      </c>
      <c r="D901" t="inlineStr">
        <is>
          <t>Software Engineer I</t>
        </is>
      </c>
      <c r="E901" t="inlineStr">
        <is>
          <t>1_Discovered</t>
        </is>
      </c>
      <c r="F901" t="inlineStr">
        <is>
          <t>fanout_batch</t>
        </is>
      </c>
      <c r="G901" t="inlineStr">
        <is>
          <t>retarget</t>
        </is>
      </c>
      <c r="H901" t="inlineStr">
        <is>
          <t>seed_codex_google_fullstack</t>
        </is>
      </c>
      <c r="I901" t="inlineStr">
        <is>
          <t>Google Full Stack</t>
        </is>
      </c>
      <c r="J901" t="inlineStr">
        <is>
          <t>google_product_ai_mainline</t>
        </is>
      </c>
      <c r="K901" t="inlineStr">
        <is>
          <t>mainline</t>
        </is>
      </c>
      <c r="L901"/>
      <c r="M901"/>
      <c r="N901">
        <v>85.4</v>
      </c>
      <c r="O901" t="inlineStr">
        <is>
          <t>fail</t>
        </is>
      </c>
      <c r="P901">
        <f>HYPERLINK("file:///Users/jingyizhang/Documents/Playground/projects/local_job_resume_pipeline/data/deliverables/resume_portfolio/by_company/latitude-ai/2026-04-02/69ce99ff366bb95ba550d1ae/resume.md","/Users/jingyizhang/Documents/Playground/projects/local_job_resume_pipeline/data/deliverables/resume_portfolio/by_company/latitude-ai/2026-04-02/69ce99ff366bb95ba550d1ae/resume.md")</f>
      </c>
      <c r="Q901"/>
      <c r="R901">
        <f>HYPERLINK("https://boards.greenhouse.io/embed/job_app?token=7773245&amp;utm_source=jobright","https://boards.greenhouse.io/embed/job_app?token=7773245&amp;utm_source=jobright")</f>
      </c>
    </row>
    <row r="902">
      <c r="A902" t="inlineStr">
        <is>
          <t>Latitude AI</t>
        </is>
      </c>
      <c r="B902" t="inlineStr">
        <is>
          <t>2026-04-02 11:31:58</t>
        </is>
      </c>
      <c r="C902" t="inlineStr">
        <is>
          <t>69ce99fe366bb95ba550d1a3</t>
        </is>
      </c>
      <c r="D902" t="inlineStr">
        <is>
          <t>Software Engineer II</t>
        </is>
      </c>
      <c r="E902" t="inlineStr">
        <is>
          <t>1_Discovered</t>
        </is>
      </c>
      <c r="F902" t="inlineStr">
        <is>
          <t>seed_validation</t>
        </is>
      </c>
      <c r="G902" t="inlineStr">
        <is>
          <t>reuse</t>
        </is>
      </c>
      <c r="H902" t="inlineStr">
        <is>
          <t>atomizer_09_backend_distributed_systems_generalist_resume</t>
        </is>
      </c>
      <c r="I902" t="inlineStr">
        <is>
          <t>09 Backend Distributed Systems Generalist</t>
        </is>
      </c>
      <c r="J902"/>
      <c r="K902"/>
      <c r="L902"/>
      <c r="M902"/>
      <c r="N902"/>
      <c r="O902"/>
      <c r="P902"/>
      <c r="Q902"/>
      <c r="R902">
        <f>HYPERLINK("https://boards.greenhouse.io/embed/job_app?token=7773632&amp;utm_source=jobright","https://boards.greenhouse.io/embed/job_app?token=7773632&amp;utm_source=jobright")</f>
      </c>
    </row>
    <row r="903">
      <c r="A903" t="inlineStr">
        <is>
          <t>Two Sigma</t>
        </is>
      </c>
      <c r="B903" t="inlineStr">
        <is>
          <t>2026-04-02 11:20:55</t>
        </is>
      </c>
      <c r="C903" t="inlineStr">
        <is>
          <t>695d7836f1f8465b79f3a552</t>
        </is>
      </c>
      <c r="D903" t="inlineStr">
        <is>
          <t>Data Scientist - Campus Full-Time</t>
        </is>
      </c>
      <c r="E903" t="inlineStr">
        <is>
          <t>1_Discovered</t>
        </is>
      </c>
      <c r="F903" t="inlineStr">
        <is>
          <t>fanout_batch</t>
        </is>
      </c>
      <c r="G903" t="inlineStr">
        <is>
          <t>reuse</t>
        </is>
      </c>
      <c r="H903" t="inlineStr">
        <is>
          <t>seed_plaid_data_scientist</t>
        </is>
      </c>
      <c r="I903" t="inlineStr">
        <is>
          <t>Plaid Data Scientist</t>
        </is>
      </c>
      <c r="J903"/>
      <c r="K903"/>
      <c r="L903"/>
      <c r="M903"/>
      <c r="N903"/>
      <c r="O903"/>
      <c r="P903"/>
      <c r="Q903"/>
      <c r="R903">
        <f>HYPERLINK("https://careers.twosigma.com/careers/JobDetail/New-York-New-York-United-States-Data-Scientist-Campus-Full-Time/13662?source=LinkedIn","https://careers.twosigma.com/careers/JobDetail/New-York-New-York-United-States-Data-Scientist-Campus-Full-Time/13662?source=LinkedIn")</f>
      </c>
    </row>
    <row r="904">
      <c r="A904" t="inlineStr">
        <is>
          <t>IBM</t>
        </is>
      </c>
      <c r="B904" t="inlineStr">
        <is>
          <t>2026-04-02 11:19:56</t>
        </is>
      </c>
      <c r="C904" t="inlineStr">
        <is>
          <t>69b3d591a8ac8e70ff681f06</t>
        </is>
      </c>
      <c r="D904" t="inlineStr">
        <is>
          <t>Backend Engineer (Cryptography Team) - Hashicorp Vault</t>
        </is>
      </c>
      <c r="E904" t="inlineStr">
        <is>
          <t>1_Discovered</t>
        </is>
      </c>
      <c r="F904" t="inlineStr">
        <is>
          <t>fanout_batch</t>
        </is>
      </c>
      <c r="G904" t="inlineStr">
        <is>
          <t>retarget</t>
        </is>
      </c>
      <c r="H904" t="inlineStr">
        <is>
          <t>seed_fullstack_dotnet_azure</t>
        </is>
      </c>
      <c r="I904" t="inlineStr">
        <is>
          <t>Fullstack DotNet Azure</t>
        </is>
      </c>
      <c r="J904"/>
      <c r="K904"/>
      <c r="L904"/>
      <c r="M904"/>
      <c r="N904">
        <v>80.2</v>
      </c>
      <c r="O904" t="inlineStr">
        <is>
          <t>fail</t>
        </is>
      </c>
      <c r="P904">
        <f>HYPERLINK("file:///Users/jingyizhang/Documents/Playground/projects/local_job_resume_pipeline/data/deliverables/resume_portfolio/by_company/ibm/2026-04-02/69b3d591a8ac8e70ff681f06/resume.md","/Users/jingyizhang/Documents/Playground/projects/local_job_resume_pipeline/data/deliverables/resume_portfolio/by_company/ibm/2026-04-02/69b3d591a8ac8e70ff681f06/resume.md")</f>
      </c>
      <c r="Q904"/>
      <c r="R904">
        <f>HYPERLINK("https://ibmglobal.avature.net/en_US/careers/JobDetail?jobId=85519&amp;src=jobright","https://ibmglobal.avature.net/en_US/careers/JobDetail?jobId=85519&amp;src=jobright")</f>
      </c>
    </row>
    <row r="905">
      <c r="A905" t="inlineStr">
        <is>
          <t>Cambia Health Solutions</t>
        </is>
      </c>
      <c r="B905" t="inlineStr">
        <is>
          <t>2026-04-02 11:19:37</t>
        </is>
      </c>
      <c r="C905" t="inlineStr">
        <is>
          <t>69cea998366bb95ba550de38</t>
        </is>
      </c>
      <c r="D905" t="inlineStr">
        <is>
          <t>AI Scientist II (Healthcare)</t>
        </is>
      </c>
      <c r="E905" t="inlineStr">
        <is>
          <t>1_Discovered</t>
        </is>
      </c>
      <c r="F905" t="inlineStr">
        <is>
          <t>fanout_batch</t>
        </is>
      </c>
      <c r="G905" t="inlineStr">
        <is>
          <t>retarget</t>
        </is>
      </c>
      <c r="H905" t="inlineStr">
        <is>
          <t>seed_linkedin_mle_foundation</t>
        </is>
      </c>
      <c r="I905" t="inlineStr">
        <is>
          <t>LinkedIn MLE Foundation</t>
        </is>
      </c>
      <c r="J905"/>
      <c r="K905"/>
      <c r="L905"/>
      <c r="M905"/>
      <c r="N905">
        <v>94.1</v>
      </c>
      <c r="O905" t="inlineStr">
        <is>
          <t>pass</t>
        </is>
      </c>
      <c r="P905">
        <f>HYPERLINK("file:///Users/jingyizhang/Documents/Playground/projects/local_job_resume_pipeline/data/deliverables/resume_portfolio/by_company/cambia-health-solutions/2026-04-02/69cea998366bb95ba550de38/resume.md","/Users/jingyizhang/Documents/Playground/projects/local_job_resume_pipeline/data/deliverables/resume_portfolio/by_company/cambia-health-solutions/2026-04-02/69cea998366bb95ba550de38/resume.md")</f>
      </c>
      <c r="Q905"/>
      <c r="R905">
        <f>HYPERLINK("https://cambiahealth.wd1.myworkdayjobs.com/en-US/External/job/Renton-WA/AI-Scientist-II--Healthcare-_R-6482","https://cambiahealth.wd1.myworkdayjobs.com/en-US/External/job/Renton-WA/AI-Scientist-II--Healthcare-_R-6482")</f>
      </c>
    </row>
    <row r="906">
      <c r="A906" t="inlineStr">
        <is>
          <t>IBM</t>
        </is>
      </c>
      <c r="B906" t="inlineStr">
        <is>
          <t>2026-04-02 11:11:05</t>
        </is>
      </c>
      <c r="C906" t="inlineStr">
        <is>
          <t>69c17a332c312363dcd460fa</t>
        </is>
      </c>
      <c r="D906" t="inlineStr">
        <is>
          <t>Associate Data Engineer – Client Innovation Center (Entry Level)</t>
        </is>
      </c>
      <c r="E906" t="inlineStr">
        <is>
          <t>1_Discovered</t>
        </is>
      </c>
      <c r="F906" t="inlineStr">
        <is>
          <t>fanout_batch</t>
        </is>
      </c>
      <c r="G906" t="inlineStr">
        <is>
          <t>retarget</t>
        </is>
      </c>
      <c r="H906" t="inlineStr">
        <is>
          <t>seed_paypal_java_backend</t>
        </is>
      </c>
      <c r="I906" t="inlineStr">
        <is>
          <t>PayPal Java Backend</t>
        </is>
      </c>
      <c r="J906"/>
      <c r="K906"/>
      <c r="L906"/>
      <c r="M906"/>
      <c r="N906">
        <v>82.2</v>
      </c>
      <c r="O906" t="inlineStr">
        <is>
          <t>fail</t>
        </is>
      </c>
      <c r="P906">
        <f>HYPERLINK("file:///Users/jingyizhang/Documents/Playground/projects/local_job_resume_pipeline/data/deliverables/resume_portfolio/by_company/ibm/2026-04-02/69c17a332c312363dcd460fa/resume.md","/Users/jingyizhang/Documents/Playground/projects/local_job_resume_pipeline/data/deliverables/resume_portfolio/by_company/ibm/2026-04-02/69c17a332c312363dcd460fa/resume.md")</f>
      </c>
      <c r="Q906"/>
      <c r="R906">
        <f>HYPERLINK("https://ibmglobal.avature.net/en_US/careers/JobDetail?jobId=87015&amp;src=jobright","https://ibmglobal.avature.net/en_US/careers/JobDetail?jobId=87015&amp;src=jobright")</f>
      </c>
    </row>
    <row r="907">
      <c r="A907" t="inlineStr">
        <is>
          <t>Kikoff</t>
        </is>
      </c>
      <c r="B907" t="inlineStr">
        <is>
          <t>2026-04-02 11:09:49</t>
        </is>
      </c>
      <c r="C907" t="inlineStr">
        <is>
          <t>69ae85694f6bcc182809c782</t>
        </is>
      </c>
      <c r="D907" t="inlineStr">
        <is>
          <t>Senior Backend Engineer - Kikoff Main</t>
        </is>
      </c>
      <c r="E907" t="inlineStr">
        <is>
          <t>1_Discovered</t>
        </is>
      </c>
      <c r="F907" t="inlineStr">
        <is>
          <t>fanout_batch</t>
        </is>
      </c>
      <c r="G907" t="inlineStr">
        <is>
          <t>reuse</t>
        </is>
      </c>
      <c r="H907" t="inlineStr">
        <is>
          <t>seed_paypal_java_backend</t>
        </is>
      </c>
      <c r="I907" t="inlineStr">
        <is>
          <t>PayPal Java Backend</t>
        </is>
      </c>
      <c r="J907"/>
      <c r="K907"/>
      <c r="L907"/>
      <c r="M907"/>
      <c r="N907"/>
      <c r="O907"/>
      <c r="P907"/>
      <c r="Q907"/>
      <c r="R907">
        <f>HYPERLINK("https://boards.greenhouse.io/embed/job_app?token=4157163009&amp;utm_source=jobright","https://boards.greenhouse.io/embed/job_app?token=4157163009&amp;utm_source=jobright")</f>
      </c>
    </row>
    <row r="908">
      <c r="A908" t="inlineStr">
        <is>
          <t>Qualitest</t>
        </is>
      </c>
      <c r="B908" t="inlineStr">
        <is>
          <t>2026-04-02 11:08:30</t>
        </is>
      </c>
      <c r="C908" t="inlineStr">
        <is>
          <t>69ce947e54f00230c6d00767</t>
        </is>
      </c>
      <c r="D908" t="inlineStr">
        <is>
          <t>Fullstack/ Backend Engineer</t>
        </is>
      </c>
      <c r="E908" t="inlineStr">
        <is>
          <t>1_Discovered</t>
        </is>
      </c>
      <c r="F908" t="inlineStr">
        <is>
          <t>fanout_batch</t>
        </is>
      </c>
      <c r="G908" t="inlineStr">
        <is>
          <t>retarget</t>
        </is>
      </c>
      <c r="H908" t="inlineStr">
        <is>
          <t>seed_codex_amazon_sde</t>
        </is>
      </c>
      <c r="I908" t="inlineStr">
        <is>
          <t>Amazon SDE</t>
        </is>
      </c>
      <c r="J908" t="inlineStr">
        <is>
          <t>amazon_platform_mainline</t>
        </is>
      </c>
      <c r="K908" t="inlineStr">
        <is>
          <t>mainline</t>
        </is>
      </c>
      <c r="L908"/>
      <c r="M908"/>
      <c r="N908">
        <v>94.6</v>
      </c>
      <c r="O908" t="inlineStr">
        <is>
          <t>pass</t>
        </is>
      </c>
      <c r="P908">
        <f>HYPERLINK("file:///Users/jingyizhang/Documents/Playground/projects/local_job_resume_pipeline/data/deliverables/resume_portfolio/by_company/qualitest/2026-04-02/69ce947e54f00230c6d00767/resume.md","/Users/jingyizhang/Documents/Playground/projects/local_job_resume_pipeline/data/deliverables/resume_portfolio/by_company/qualitest/2026-04-02/69ce947e54f00230c6d00767/resume.md")</f>
      </c>
      <c r="Q908"/>
      <c r="R908">
        <f>HYPERLINK("https://qualitest-infotech-privat.contactrh.com/jobs/12/44081405/en_GB","https://qualitest-infotech-privat.contactrh.com/jobs/12/44081405/en_GB")</f>
      </c>
    </row>
    <row r="909">
      <c r="A909" t="inlineStr">
        <is>
          <t>Tyler Technologies</t>
        </is>
      </c>
      <c r="B909" t="inlineStr">
        <is>
          <t>2026-04-02 10:58:18</t>
        </is>
      </c>
      <c r="C909" t="inlineStr">
        <is>
          <t>69b1ef2e548f140066e809d2</t>
        </is>
      </c>
      <c r="D909" t="inlineStr">
        <is>
          <t>Software Engineer (Go, Typescript &amp; PHP) Enterprise Supervision</t>
        </is>
      </c>
      <c r="E909" t="inlineStr">
        <is>
          <t>1_Discovered</t>
        </is>
      </c>
      <c r="F909" t="inlineStr">
        <is>
          <t>fanout_batch</t>
        </is>
      </c>
      <c r="G909" t="inlineStr">
        <is>
          <t>retarget</t>
        </is>
      </c>
      <c r="H909" t="inlineStr">
        <is>
          <t>seed_egen_fullstack_node</t>
        </is>
      </c>
      <c r="I909" t="inlineStr">
        <is>
          <t>Egen Fullstack Node</t>
        </is>
      </c>
      <c r="J909"/>
      <c r="K909"/>
      <c r="L909"/>
      <c r="M909"/>
      <c r="N909">
        <v>93.5</v>
      </c>
      <c r="O909" t="inlineStr">
        <is>
          <t>pass</t>
        </is>
      </c>
      <c r="P909">
        <f>HYPERLINK("file:///Users/jingyizhang/Documents/Playground/projects/local_job_resume_pipeline/data/deliverables/resume_portfolio/by_company/tyler-technologies/2026-04-02/69b1ef2e548f140066e809d2/resume.md","/Users/jingyizhang/Documents/Playground/projects/local_job_resume_pipeline/data/deliverables/resume_portfolio/by_company/tyler-technologies/2026-04-02/69b1ef2e548f140066e809d2/resume.md")</f>
      </c>
      <c r="Q909"/>
      <c r="R909">
        <f>HYPERLINK("https://jobs.jobvite.com/tylertech/job/ozOfzfwV?__jvst=Job+Board&amp;__jvsd=LinkedIn","https://jobs.jobvite.com/tylertech/job/ozOfzfwV?__jvst=Job+Board&amp;__jvsd=LinkedIn")</f>
      </c>
    </row>
    <row r="910">
      <c r="A910" t="inlineStr">
        <is>
          <t>IBM</t>
        </is>
      </c>
      <c r="B910" t="inlineStr">
        <is>
          <t>2026-04-02 10:58:08</t>
        </is>
      </c>
      <c r="C910" t="inlineStr">
        <is>
          <t>69c15d0479e36d3a847dfc49</t>
        </is>
      </c>
      <c r="D910" t="inlineStr">
        <is>
          <t>Software Developer 2026 ELH</t>
        </is>
      </c>
      <c r="E910" t="inlineStr">
        <is>
          <t>1_Discovered</t>
        </is>
      </c>
      <c r="F910" t="inlineStr">
        <is>
          <t>fanout_batch</t>
        </is>
      </c>
      <c r="G910" t="inlineStr">
        <is>
          <t>retarget</t>
        </is>
      </c>
      <c r="H910" t="inlineStr">
        <is>
          <t>seed_paypal_java_backend</t>
        </is>
      </c>
      <c r="I910" t="inlineStr">
        <is>
          <t>PayPal Java Backend</t>
        </is>
      </c>
      <c r="J910"/>
      <c r="K910"/>
      <c r="L910"/>
      <c r="M910"/>
      <c r="N910">
        <v>91.5</v>
      </c>
      <c r="O910" t="inlineStr">
        <is>
          <t>conditional_pass</t>
        </is>
      </c>
      <c r="P910">
        <f>HYPERLINK("file:///Users/jingyizhang/Documents/Playground/projects/local_job_resume_pipeline/data/deliverables/resume_portfolio/by_company/ibm/2026-04-02/69c15d0479e36d3a847dfc49/resume.md","/Users/jingyizhang/Documents/Playground/projects/local_job_resume_pipeline/data/deliverables/resume_portfolio/by_company/ibm/2026-04-02/69c15d0479e36d3a847dfc49/resume.md")</f>
      </c>
      <c r="Q910"/>
      <c r="R910">
        <f>HYPERLINK("https://ibmglobal.avature.net/en_US/careers/JobDetail?jobId=91689&amp;src=jobright","https://ibmglobal.avature.net/en_US/careers/JobDetail?jobId=91689&amp;src=jobright")</f>
      </c>
    </row>
    <row r="911">
      <c r="A911" t="inlineStr">
        <is>
          <t>FanDuel</t>
        </is>
      </c>
      <c r="B911" t="inlineStr">
        <is>
          <t>2026-04-02 10:57:56</t>
        </is>
      </c>
      <c r="C911" t="inlineStr">
        <is>
          <t>69951d7fce78e77b4fd934ed</t>
        </is>
      </c>
      <c r="D911" t="inlineStr">
        <is>
          <t>Analytics Engineer</t>
        </is>
      </c>
      <c r="E911" t="inlineStr">
        <is>
          <t>1_Discovered</t>
        </is>
      </c>
      <c r="F911" t="inlineStr">
        <is>
          <t>fanout_batch</t>
        </is>
      </c>
      <c r="G911" t="inlineStr">
        <is>
          <t>retarget</t>
        </is>
      </c>
      <c r="H911" t="inlineStr">
        <is>
          <t>seed_qualified_health_data_engineer</t>
        </is>
      </c>
      <c r="I911" t="inlineStr">
        <is>
          <t>Qualified Health Data Engineer</t>
        </is>
      </c>
      <c r="J911"/>
      <c r="K911"/>
      <c r="L911"/>
      <c r="M911"/>
      <c r="N911">
        <v>94.0</v>
      </c>
      <c r="O911" t="inlineStr">
        <is>
          <t>pass</t>
        </is>
      </c>
      <c r="P911">
        <f>HYPERLINK("file:///Users/jingyizhang/Documents/Playground/projects/local_job_resume_pipeline/data/deliverables/resume_portfolio/by_company/fanduel/2026-04-02/69951d7fce78e77b4fd934ed/resume.md","/Users/jingyizhang/Documents/Playground/projects/local_job_resume_pipeline/data/deliverables/resume_portfolio/by_company/fanduel/2026-04-02/69951d7fce78e77b4fd934ed/resume.md")</f>
      </c>
      <c r="Q911"/>
      <c r="R911">
        <f>HYPERLINK("https://boards.greenhouse.io/embed/job_app?token=7624580&amp;utm_source=jobright","https://boards.greenhouse.io/embed/job_app?token=7624580&amp;utm_source=jobright")</f>
      </c>
    </row>
    <row r="912">
      <c r="A912" t="inlineStr">
        <is>
          <t>Amazon Web Services (AWS)</t>
        </is>
      </c>
      <c r="B912" t="inlineStr">
        <is>
          <t>2026-04-02 10:42:18</t>
        </is>
      </c>
      <c r="C912" t="inlineStr">
        <is>
          <t>69b1fbae65de58104c716815</t>
        </is>
      </c>
      <c r="D912" t="inlineStr">
        <is>
          <t>Software Development Engineer, Neuron Foundation Tools</t>
        </is>
      </c>
      <c r="E912" t="inlineStr">
        <is>
          <t>1_Discovered</t>
        </is>
      </c>
      <c r="F912" t="inlineStr">
        <is>
          <t>seed_validation</t>
        </is>
      </c>
      <c r="G912" t="inlineStr">
        <is>
          <t>reuse</t>
        </is>
      </c>
      <c r="H912" t="inlineStr">
        <is>
          <t>seed_codex_google_aiml</t>
        </is>
      </c>
      <c r="I912" t="inlineStr">
        <is>
          <t>Google AIML SWE</t>
        </is>
      </c>
      <c r="J912" t="inlineStr">
        <is>
          <t>google_product_ai_mainline</t>
        </is>
      </c>
      <c r="K912" t="inlineStr">
        <is>
          <t>mainline</t>
        </is>
      </c>
      <c r="L912"/>
      <c r="M912"/>
      <c r="N912"/>
      <c r="O912"/>
      <c r="P912"/>
      <c r="Q912"/>
      <c r="R912">
        <f>HYPERLINK("https://www.amazon.jobs/jobs/3202423/software-development-engineer-neuron-foundation-tools?cmpid=SPLICX0248M&amp;utm_source=linkedin.com&amp;utm_campaign=cxro&amp;utm_medium=social_media&amp;utm_content=job_posting&amp;ss=paid","https://www.amazon.jobs/jobs/3202423/software-development-engineer-neuron-foundation-tools?cmpid=SPLICX0248M&amp;utm_source=linkedin.com&amp;utm_campaign=cxro&amp;utm_medium=social_media&amp;utm_content=job_posting&amp;ss=paid")</f>
      </c>
    </row>
    <row r="913">
      <c r="A913" t="inlineStr">
        <is>
          <t>Barclays Investment Bank</t>
        </is>
      </c>
      <c r="B913" t="inlineStr">
        <is>
          <t>2026-04-02 10:41:54</t>
        </is>
      </c>
      <c r="C913" t="inlineStr">
        <is>
          <t>69ce8e4254f00230c6d004b5</t>
        </is>
      </c>
      <c r="D913" t="inlineStr">
        <is>
          <t>Senior Full Stack Developer– AVP</t>
        </is>
      </c>
      <c r="E913" t="inlineStr">
        <is>
          <t>1_Discovered</t>
        </is>
      </c>
      <c r="F913" t="inlineStr">
        <is>
          <t>fanout_batch</t>
        </is>
      </c>
      <c r="G913" t="inlineStr">
        <is>
          <t>retarget</t>
        </is>
      </c>
      <c r="H913" t="inlineStr">
        <is>
          <t>seed_egen_fullstack_node</t>
        </is>
      </c>
      <c r="I913" t="inlineStr">
        <is>
          <t>Egen Fullstack Node</t>
        </is>
      </c>
      <c r="J913"/>
      <c r="K913"/>
      <c r="L913"/>
      <c r="M913"/>
      <c r="N913">
        <v>89.1</v>
      </c>
      <c r="O913" t="inlineStr">
        <is>
          <t>conditional_pass</t>
        </is>
      </c>
      <c r="P913">
        <f>HYPERLINK("file:///Users/jingyizhang/Documents/Playground/projects/local_job_resume_pipeline/data/deliverables/resume_portfolio/by_company/barclays-investment-bank/2026-04-02/69ce8e4254f00230c6d004b5/resume.md","/Users/jingyizhang/Documents/Playground/projects/local_job_resume_pipeline/data/deliverables/resume_portfolio/by_company/barclays-investment-bank/2026-04-02/69ce8e4254f00230c6d004b5/resume.md")</f>
      </c>
      <c r="Q913"/>
      <c r="R913">
        <f>HYPERLINK("https://barclays.wd3.myworkdayjobs.com/External_Career_Site_Barclays/job/New-York-745-7th-Avenue/Senior-C--Backend-Engineer---AVP_JR-0000091947","https://barclays.wd3.myworkdayjobs.com/External_Career_Site_Barclays/job/New-York-745-7th-Avenue/Senior-C--Backend-Engineer---AVP_JR-0000091947")</f>
      </c>
    </row>
    <row r="914">
      <c r="A914" t="inlineStr">
        <is>
          <t>Glean</t>
        </is>
      </c>
      <c r="B914" t="inlineStr">
        <is>
          <t>2026-04-02 10:06:21</t>
        </is>
      </c>
      <c r="C914" t="inlineStr">
        <is>
          <t>69b2c994ad360c0340a7bca1</t>
        </is>
      </c>
      <c r="D914" t="inlineStr">
        <is>
          <t>Software Engineer, Fullstack</t>
        </is>
      </c>
      <c r="E914" t="inlineStr">
        <is>
          <t>1_Discovered</t>
        </is>
      </c>
      <c r="F914" t="inlineStr">
        <is>
          <t>fanout_batch</t>
        </is>
      </c>
      <c r="G914" t="inlineStr">
        <is>
          <t>retarget</t>
        </is>
      </c>
      <c r="H914" t="inlineStr">
        <is>
          <t>seed_cisco_backend_api</t>
        </is>
      </c>
      <c r="I914" t="inlineStr">
        <is>
          <t>Cisco Backend API</t>
        </is>
      </c>
      <c r="J914"/>
      <c r="K914"/>
      <c r="L914"/>
      <c r="M914"/>
      <c r="N914">
        <v>95.1</v>
      </c>
      <c r="O914" t="inlineStr">
        <is>
          <t>pass</t>
        </is>
      </c>
      <c r="P914">
        <f>HYPERLINK("file:///Users/jingyizhang/Documents/Playground/projects/local_job_resume_pipeline/data/deliverables/resume_portfolio/by_company/glean/2026-04-02/69b2c994ad360c0340a7bca1/resume.md","/Users/jingyizhang/Documents/Playground/projects/local_job_resume_pipeline/data/deliverables/resume_portfolio/by_company/glean/2026-04-02/69b2c994ad360c0340a7bca1/resume.md")</f>
      </c>
      <c r="Q914"/>
      <c r="R914">
        <f>HYPERLINK("https://boards.greenhouse.io/embed/job_app?token=4006734005&amp;utm_source=jobright","https://boards.greenhouse.io/embed/job_app?token=4006734005&amp;utm_source=jobright")</f>
      </c>
    </row>
    <row r="915">
      <c r="A915" t="inlineStr">
        <is>
          <t>ION</t>
        </is>
      </c>
      <c r="B915" t="inlineStr">
        <is>
          <t>2026-04-02 10:03:26</t>
        </is>
      </c>
      <c r="C915" t="inlineStr">
        <is>
          <t>69ce853ecdb525785fb98555</t>
        </is>
      </c>
      <c r="D915" t="inlineStr">
        <is>
          <t>Software Engineer</t>
        </is>
      </c>
      <c r="E915" t="inlineStr">
        <is>
          <t>1_Discovered</t>
        </is>
      </c>
      <c r="F915" t="inlineStr">
        <is>
          <t>seed_validation</t>
        </is>
      </c>
      <c r="G915" t="inlineStr">
        <is>
          <t>reuse</t>
        </is>
      </c>
      <c r="H915" t="inlineStr">
        <is>
          <t>seed_generalist_dotnet_enterprise</t>
        </is>
      </c>
      <c r="I915" t="inlineStr">
        <is>
          <t>Generalist DotNet Enterprise</t>
        </is>
      </c>
      <c r="J915"/>
      <c r="K915"/>
      <c r="L915"/>
      <c r="M915"/>
      <c r="N915"/>
      <c r="O915"/>
      <c r="P915"/>
      <c r="Q915"/>
      <c r="R915">
        <f>HYPERLINK("https://jobs.lever.co/ion/1847f79c-dae7-4652-b8ab-285b1164ec78/apply?lever-source=Job+postings+feed&amp;source=jobright","https://jobs.lever.co/ion/1847f79c-dae7-4652-b8ab-285b1164ec78/apply?lever-source=Job+postings+feed&amp;source=jobright")</f>
      </c>
    </row>
    <row r="916">
      <c r="A916" t="inlineStr">
        <is>
          <t>CIFC Asset Management</t>
        </is>
      </c>
      <c r="B916" t="inlineStr">
        <is>
          <t>2026-04-02 09:53:04</t>
        </is>
      </c>
      <c r="C916" t="inlineStr">
        <is>
          <t>69ceb33e398fb071abf87b66</t>
        </is>
      </c>
      <c r="D916" t="inlineStr">
        <is>
          <t>Junior Data Analyst</t>
        </is>
      </c>
      <c r="E916" t="inlineStr">
        <is>
          <t>1_Discovered</t>
        </is>
      </c>
      <c r="F916" t="inlineStr">
        <is>
          <t>fanout_batch</t>
        </is>
      </c>
      <c r="G916" t="inlineStr">
        <is>
          <t>retarget</t>
        </is>
      </c>
      <c r="H916" t="inlineStr">
        <is>
          <t>seed_bytedance_ml_grad</t>
        </is>
      </c>
      <c r="I916" t="inlineStr">
        <is>
          <t>ByteDance ML Grad</t>
        </is>
      </c>
      <c r="J916"/>
      <c r="K916"/>
      <c r="L916"/>
      <c r="M916"/>
      <c r="N916">
        <v>92.4</v>
      </c>
      <c r="O916" t="inlineStr">
        <is>
          <t>conditional_pass</t>
        </is>
      </c>
      <c r="P916">
        <f>HYPERLINK("file:///Users/jingyizhang/Documents/Playground/projects/local_job_resume_pipeline/data/deliverables/resume_portfolio/by_company/cifc-asset-management/2026-04-02/69ceb33e398fb071abf87b66/resume.md","/Users/jingyizhang/Documents/Playground/projects/local_job_resume_pipeline/data/deliverables/resume_portfolio/by_company/cifc-asset-management/2026-04-02/69ceb33e398fb071abf87b66/resume.md")</f>
      </c>
      <c r="Q916"/>
      <c r="R916">
        <f>HYPERLINK("https://www.linkedin.com/jobs/view/4395335317","https://www.linkedin.com/jobs/view/4395335317")</f>
      </c>
    </row>
    <row r="917">
      <c r="A917" t="inlineStr">
        <is>
          <t>Phantom</t>
        </is>
      </c>
      <c r="B917" t="inlineStr">
        <is>
          <t>2026-04-02 09:44:27</t>
        </is>
      </c>
      <c r="C917" t="inlineStr">
        <is>
          <t>69b20992d04c69566c74ae72</t>
        </is>
      </c>
      <c r="D917" t="inlineStr">
        <is>
          <t>SDET (Wallet Platform)</t>
        </is>
      </c>
      <c r="E917" t="inlineStr">
        <is>
          <t>1_Discovered</t>
        </is>
      </c>
      <c r="F917" t="inlineStr">
        <is>
          <t>fanout_batch</t>
        </is>
      </c>
      <c r="G917" t="inlineStr">
        <is>
          <t>retarget</t>
        </is>
      </c>
      <c r="H917" t="inlineStr">
        <is>
          <t>seed_magnite_sdet</t>
        </is>
      </c>
      <c r="I917" t="inlineStr">
        <is>
          <t>Magnite SDET</t>
        </is>
      </c>
      <c r="J917"/>
      <c r="K917"/>
      <c r="L917"/>
      <c r="M917"/>
      <c r="N917">
        <v>95.1</v>
      </c>
      <c r="O917" t="inlineStr">
        <is>
          <t>pass</t>
        </is>
      </c>
      <c r="P917">
        <f>HYPERLINK("file:///Users/jingyizhang/Documents/Playground/projects/local_job_resume_pipeline/data/deliverables/resume_portfolio/by_company/phantom/2026-04-02/69b20992d04c69566c74ae72/resume.md","/Users/jingyizhang/Documents/Playground/projects/local_job_resume_pipeline/data/deliverables/resume_portfolio/by_company/phantom/2026-04-02/69b20992d04c69566c74ae72/resume.md")</f>
      </c>
      <c r="Q917"/>
      <c r="R917">
        <f>HYPERLINK("https://jobs.ashbyhq.com/phantom/50fa106b-7e02-4cff-8cf8-9f45cf1d60d4?src=LinkedIn","https://jobs.ashbyhq.com/phantom/50fa106b-7e02-4cff-8cf8-9f45cf1d60d4?src=LinkedIn")</f>
      </c>
    </row>
    <row r="918">
      <c r="A918" t="inlineStr">
        <is>
          <t>Arlo Technologies, Inc.</t>
        </is>
      </c>
      <c r="B918" t="inlineStr">
        <is>
          <t>2026-04-02 09:30:49</t>
        </is>
      </c>
      <c r="C918" t="inlineStr">
        <is>
          <t>69b1ea89548f140066e7fc93</t>
        </is>
      </c>
      <c r="D918" t="inlineStr">
        <is>
          <t>Sr. Data Engineer</t>
        </is>
      </c>
      <c r="E918" t="inlineStr">
        <is>
          <t>1_Discovered</t>
        </is>
      </c>
      <c r="F918" t="inlineStr">
        <is>
          <t>fanout_batch</t>
        </is>
      </c>
      <c r="G918" t="inlineStr">
        <is>
          <t>reuse</t>
        </is>
      </c>
      <c r="H918" t="inlineStr">
        <is>
          <t>seed_qualified_health_data_engineer</t>
        </is>
      </c>
      <c r="I918" t="inlineStr">
        <is>
          <t>Qualified Health Data Engineer</t>
        </is>
      </c>
      <c r="J918"/>
      <c r="K918"/>
      <c r="L918"/>
      <c r="M918"/>
      <c r="N918"/>
      <c r="O918"/>
      <c r="P918"/>
      <c r="Q918"/>
      <c r="R918">
        <f>HYPERLINK("https://arlo.wd12.myworkdayjobs.com/External_Careers/job/Milpitas-CA/Sr-Data-Engineer_JR100321?source=LinkedIn","https://arlo.wd12.myworkdayjobs.com/External_Careers/job/Milpitas-CA/Sr-Data-Engineer_JR100321?source=LinkedIn")</f>
      </c>
    </row>
    <row r="919">
      <c r="A919" t="inlineStr">
        <is>
          <t>Unum</t>
        </is>
      </c>
      <c r="B919" t="inlineStr">
        <is>
          <t>2026-04-02 09:18:02</t>
        </is>
      </c>
      <c r="C919" t="inlineStr">
        <is>
          <t>69b176afd04c69566c73c3bf</t>
        </is>
      </c>
      <c r="D919" t="inlineStr">
        <is>
          <t>Senior Software Engineer (JAVA &amp; FINEOS)</t>
        </is>
      </c>
      <c r="E919" t="inlineStr">
        <is>
          <t>1_Discovered</t>
        </is>
      </c>
      <c r="F919" t="inlineStr">
        <is>
          <t>fanout_batch</t>
        </is>
      </c>
      <c r="G919" t="inlineStr">
        <is>
          <t>retarget</t>
        </is>
      </c>
      <c r="H919" t="inlineStr">
        <is>
          <t>seed_cisco_backend_api</t>
        </is>
      </c>
      <c r="I919" t="inlineStr">
        <is>
          <t>Cisco Backend API</t>
        </is>
      </c>
      <c r="J919"/>
      <c r="K919"/>
      <c r="L919"/>
      <c r="M919"/>
      <c r="N919">
        <v>95.0</v>
      </c>
      <c r="O919" t="inlineStr">
        <is>
          <t>pass</t>
        </is>
      </c>
      <c r="P919">
        <f>HYPERLINK("file:///Users/jingyizhang/Documents/Playground/projects/local_job_resume_pipeline/data/deliverables/resume_portfolio/by_company/unum/2026-04-02/69b176afd04c69566c73c3bf/resume.md","/Users/jingyizhang/Documents/Playground/projects/local_job_resume_pipeline/data/deliverables/resume_portfolio/by_company/unum/2026-04-02/69b176afd04c69566c73c3bf/resume.md")</f>
      </c>
      <c r="Q919"/>
      <c r="R919">
        <f>HYPERLINK("https://unum.wd1.myworkdayjobs.com/External/job/Chattanooga-Tennessee-USA/Senior-Software-Engineer--JAVA---FINEOS-_834803?source=502660","https://unum.wd1.myworkdayjobs.com/External/job/Chattanooga-Tennessee-USA/Senior-Software-Engineer--JAVA---FINEOS-_834803?source=502660")</f>
      </c>
    </row>
    <row r="920">
      <c r="A920" t="inlineStr">
        <is>
          <t>Skydio</t>
        </is>
      </c>
      <c r="B920" t="inlineStr">
        <is>
          <t>2026-04-02 08:32:36</t>
        </is>
      </c>
      <c r="C920" t="inlineStr">
        <is>
          <t>69421283bdcf884a5addd027</t>
        </is>
      </c>
      <c r="D920" t="inlineStr">
        <is>
          <t>Autonomy Engineer - Deep Learning</t>
        </is>
      </c>
      <c r="E920" t="inlineStr">
        <is>
          <t>1_Discovered</t>
        </is>
      </c>
      <c r="F920" t="inlineStr">
        <is>
          <t>fanout_batch</t>
        </is>
      </c>
      <c r="G920" t="inlineStr">
        <is>
          <t>retarget</t>
        </is>
      </c>
      <c r="H920" t="inlineStr">
        <is>
          <t>seed_amazon_agi_ml_anchor</t>
        </is>
      </c>
      <c r="I920" t="inlineStr">
        <is>
          <t>Amazon AGI/LLM Anchor</t>
        </is>
      </c>
      <c r="J920" t="inlineStr">
        <is>
          <t>amazon_ai_ads_mainline</t>
        </is>
      </c>
      <c r="K920" t="inlineStr">
        <is>
          <t>mainline</t>
        </is>
      </c>
      <c r="L920"/>
      <c r="M920"/>
      <c r="N920">
        <v>93.6</v>
      </c>
      <c r="O920" t="inlineStr">
        <is>
          <t>pass</t>
        </is>
      </c>
      <c r="P920">
        <f>HYPERLINK("file:///Users/jingyizhang/Documents/Playground/projects/local_job_resume_pipeline/data/deliverables/resume_portfolio/by_company/skydio/2026-04-02/69421283bdcf884a5addd027/resume.md","/Users/jingyizhang/Documents/Playground/projects/local_job_resume_pipeline/data/deliverables/resume_portfolio/by_company/skydio/2026-04-02/69421283bdcf884a5addd027/resume.md")</f>
      </c>
      <c r="Q920"/>
      <c r="R920">
        <f>HYPERLINK("https://www.skydio.com/careers?ashby_jid=cc83824e-a1cd-4bc7-9206-7264da9fbd61&amp;utm_source=LinkedInPaid","https://www.skydio.com/careers?ashby_jid=cc83824e-a1cd-4bc7-9206-7264da9fbd61&amp;utm_source=LinkedInPaid")</f>
      </c>
    </row>
    <row r="921">
      <c r="A921" t="inlineStr">
        <is>
          <t>Microsoft</t>
        </is>
      </c>
      <c r="B921" t="inlineStr">
        <is>
          <t>2026-04-02 08:28:29</t>
        </is>
      </c>
      <c r="C921" t="inlineStr">
        <is>
          <t>69ce6efd54f00230c6cff2fb</t>
        </is>
      </c>
      <c r="D921" t="inlineStr">
        <is>
          <t>Senior Software Engineer - Azure Database</t>
        </is>
      </c>
      <c r="E921" t="inlineStr">
        <is>
          <t>1_Discovered</t>
        </is>
      </c>
      <c r="F921" t="inlineStr">
        <is>
          <t>fanout_batch</t>
        </is>
      </c>
      <c r="G921" t="inlineStr">
        <is>
          <t>reuse</t>
        </is>
      </c>
      <c r="H921" t="inlineStr">
        <is>
          <t>seed_microsoft_coreai_platform_anchor</t>
        </is>
      </c>
      <c r="I921" t="inlineStr">
        <is>
          <t>Microsoft CoreAI/BIC Platform Anchor</t>
        </is>
      </c>
      <c r="J921"/>
      <c r="K921"/>
      <c r="L921"/>
      <c r="M921"/>
      <c r="N921"/>
      <c r="O921"/>
      <c r="P921"/>
      <c r="Q921"/>
      <c r="R921">
        <f>HYPERLINK("https://apply.careers.microsoft.com/careers/job/1970393556853161?utm_source=linkedin&amp;domain=microsoft.com&amp;src=LinkedIn","https://apply.careers.microsoft.com/careers/job/1970393556853161?utm_source=linkedin&amp;domain=microsoft.com&amp;src=LinkedIn")</f>
      </c>
    </row>
    <row r="922">
      <c r="A922" t="inlineStr">
        <is>
          <t>Microsoft</t>
        </is>
      </c>
      <c r="B922" t="inlineStr">
        <is>
          <t>2026-04-02 08:28:27</t>
        </is>
      </c>
      <c r="C922" t="inlineStr">
        <is>
          <t>69ce6efb54f00230c6cff2fa</t>
        </is>
      </c>
      <c r="D922" t="inlineStr">
        <is>
          <t>Software Engineer</t>
        </is>
      </c>
      <c r="E922" t="inlineStr">
        <is>
          <t>1_Discovered</t>
        </is>
      </c>
      <c r="F922" t="inlineStr">
        <is>
          <t>fanout_batch</t>
        </is>
      </c>
      <c r="G922" t="inlineStr">
        <is>
          <t>reuse</t>
        </is>
      </c>
      <c r="H922" t="inlineStr">
        <is>
          <t>seed_microsoft_coreai_platform_anchor</t>
        </is>
      </c>
      <c r="I922" t="inlineStr">
        <is>
          <t>Microsoft CoreAI/BIC Platform Anchor</t>
        </is>
      </c>
      <c r="J922"/>
      <c r="K922"/>
      <c r="L922"/>
      <c r="M922"/>
      <c r="N922"/>
      <c r="O922"/>
      <c r="P922"/>
      <c r="Q922"/>
      <c r="R922">
        <f>HYPERLINK("https://apply.careers.microsoft.com/careers/job/1970393556620699?utm_source=linkedin&amp;domain=microsoft.com&amp;src=LinkedIn","https://apply.careers.microsoft.com/careers/job/1970393556620699?utm_source=linkedin&amp;domain=microsoft.com&amp;src=LinkedIn")</f>
      </c>
    </row>
    <row r="923">
      <c r="A923" t="inlineStr">
        <is>
          <t>Microsoft</t>
        </is>
      </c>
      <c r="B923" t="inlineStr">
        <is>
          <t>2026-04-02 08:25:49</t>
        </is>
      </c>
      <c r="C923" t="inlineStr">
        <is>
          <t>69ce6e5d366bb95ba550b6e8</t>
        </is>
      </c>
      <c r="D923" t="inlineStr">
        <is>
          <t>Software Engineer II - BIC Foundations</t>
        </is>
      </c>
      <c r="E923" t="inlineStr">
        <is>
          <t>1_Discovered</t>
        </is>
      </c>
      <c r="F923" t="inlineStr">
        <is>
          <t>seed_source</t>
        </is>
      </c>
      <c r="G923" t="inlineStr">
        <is>
          <t>seed_source</t>
        </is>
      </c>
      <c r="H923" t="inlineStr">
        <is>
          <t>seed_microsoft_coreai_platform_anchor</t>
        </is>
      </c>
      <c r="I923" t="inlineStr">
        <is>
          <t>Microsoft CoreAI/BIC Platform Anchor</t>
        </is>
      </c>
      <c r="J923"/>
      <c r="K923"/>
      <c r="L923"/>
      <c r="M923"/>
      <c r="N923">
        <v>93.8</v>
      </c>
      <c r="O923" t="inlineStr">
        <is>
          <t>pass</t>
        </is>
      </c>
      <c r="P923">
        <f>HYPERLINK("file:///Users/jingyizhang/Documents/Playground/projects/local_job_resume_pipeline/data/deliverables/resume_portfolio/by_company/microsoft/2026-04-02/69ce6e5d366bb95ba550b6e8/resume.md","/Users/jingyizhang/Documents/Playground/projects/local_job_resume_pipeline/data/deliverables/resume_portfolio/by_company/microsoft/2026-04-02/69ce6e5d366bb95ba550b6e8/resume.md")</f>
      </c>
      <c r="Q923"/>
      <c r="R923">
        <f>HYPERLINK("https://apply.careers.microsoft.com/careers/job/1970393556756098?utm_source=linkedin&amp;domain=microsoft.com&amp;src=LinkedIn","https://apply.careers.microsoft.com/careers/job/1970393556756098?utm_source=linkedin&amp;domain=microsoft.com&amp;src=LinkedIn")</f>
      </c>
    </row>
    <row r="924">
      <c r="A924" t="inlineStr">
        <is>
          <t>Microsoft</t>
        </is>
      </c>
      <c r="B924" t="inlineStr">
        <is>
          <t>2026-04-02 08:19:44</t>
        </is>
      </c>
      <c r="C924" t="inlineStr">
        <is>
          <t>69ce6cf0cfdc6132f9428453</t>
        </is>
      </c>
      <c r="D924" t="inlineStr">
        <is>
          <t>Software Engineering II</t>
        </is>
      </c>
      <c r="E924" t="inlineStr">
        <is>
          <t>1_Discovered</t>
        </is>
      </c>
      <c r="F924" t="inlineStr">
        <is>
          <t>fanout_batch</t>
        </is>
      </c>
      <c r="G924" t="inlineStr">
        <is>
          <t>reuse</t>
        </is>
      </c>
      <c r="H924" t="inlineStr">
        <is>
          <t>seed_microsoft_coreai_platform_anchor</t>
        </is>
      </c>
      <c r="I924" t="inlineStr">
        <is>
          <t>Microsoft CoreAI/BIC Platform Anchor</t>
        </is>
      </c>
      <c r="J924"/>
      <c r="K924"/>
      <c r="L924"/>
      <c r="M924"/>
      <c r="N924"/>
      <c r="O924"/>
      <c r="P924"/>
      <c r="Q924"/>
      <c r="R924">
        <f>HYPERLINK("https://apply.careers.microsoft.com/careers/job/1970393556637106?utm_source=linkedin&amp;domain=microsoft.com&amp;src=LinkedIn","https://apply.careers.microsoft.com/careers/job/1970393556637106?utm_source=linkedin&amp;domain=microsoft.com&amp;src=LinkedIn")</f>
      </c>
    </row>
    <row r="925">
      <c r="A925" t="inlineStr">
        <is>
          <t>Rippling</t>
        </is>
      </c>
      <c r="B925" t="inlineStr">
        <is>
          <t>2026-04-02 08:12:35</t>
        </is>
      </c>
      <c r="C925" t="inlineStr">
        <is>
          <t>697a0339a5b9804527dfccdc</t>
        </is>
      </c>
      <c r="D925" t="inlineStr">
        <is>
          <t>Software Engineer II, Backend Full Stack - Financial Product</t>
        </is>
      </c>
      <c r="E925" t="inlineStr">
        <is>
          <t>1_Discovered</t>
        </is>
      </c>
      <c r="F925" t="inlineStr">
        <is>
          <t>seed_validation</t>
        </is>
      </c>
      <c r="G925" t="inlineStr">
        <is>
          <t>reuse</t>
        </is>
      </c>
      <c r="H925" t="inlineStr">
        <is>
          <t>seed_profound_fullstack_ts_node</t>
        </is>
      </c>
      <c r="I925" t="inlineStr">
        <is>
          <t>Profound Fullstack TS Node</t>
        </is>
      </c>
      <c r="J925"/>
      <c r="K925"/>
      <c r="L925"/>
      <c r="M925"/>
      <c r="N925"/>
      <c r="O925"/>
      <c r="P925"/>
      <c r="Q925"/>
      <c r="R925">
        <f>HYPERLINK("https://ats.rippling.com/rippling/jobs/b8488190-09b1-4506-9194-726939df73bd?jobSite=LinkedIn","https://ats.rippling.com/rippling/jobs/b8488190-09b1-4506-9194-726939df73bd?jobSite=LinkedIn")</f>
      </c>
    </row>
    <row r="926">
      <c r="A926" t="inlineStr">
        <is>
          <t>Tubi</t>
        </is>
      </c>
      <c r="B926" t="inlineStr">
        <is>
          <t>2026-04-02 08:03:49</t>
        </is>
      </c>
      <c r="C926" t="inlineStr">
        <is>
          <t>69b20ab065de58104c7177b8</t>
        </is>
      </c>
      <c r="D926" t="inlineStr">
        <is>
          <t>Senior Software Engineer, Growth</t>
        </is>
      </c>
      <c r="E926" t="inlineStr">
        <is>
          <t>1_Discovered</t>
        </is>
      </c>
      <c r="F926" t="inlineStr">
        <is>
          <t>fanout_batch</t>
        </is>
      </c>
      <c r="G926" t="inlineStr">
        <is>
          <t>retarget</t>
        </is>
      </c>
      <c r="H926" t="inlineStr">
        <is>
          <t>seed_generalist_dotnet_enterprise</t>
        </is>
      </c>
      <c r="I926" t="inlineStr">
        <is>
          <t>Generalist DotNet Enterprise</t>
        </is>
      </c>
      <c r="J926"/>
      <c r="K926"/>
      <c r="L926"/>
      <c r="M926"/>
      <c r="N926">
        <v>93.7</v>
      </c>
      <c r="O926" t="inlineStr">
        <is>
          <t>pass</t>
        </is>
      </c>
      <c r="P926">
        <f>HYPERLINK("file:///Users/jingyizhang/Documents/Playground/projects/local_job_resume_pipeline/data/deliverables/resume_portfolio/by_company/tubi/2026-04-02/69b20ab065de58104c7177b8/resume.md","/Users/jingyizhang/Documents/Playground/projects/local_job_resume_pipeline/data/deliverables/resume_portfolio/by_company/tubi/2026-04-02/69b20ab065de58104c7177b8/resume.md")</f>
      </c>
      <c r="Q926"/>
      <c r="R926">
        <f>HYPERLINK("https://boards.greenhouse.io/embed/job_app?token=7416962&amp;utm_source=jobright","https://boards.greenhouse.io/embed/job_app?token=7416962&amp;utm_source=jobright")</f>
      </c>
    </row>
    <row r="927">
      <c r="A927" t="inlineStr">
        <is>
          <t>FICO</t>
        </is>
      </c>
      <c r="B927" t="inlineStr">
        <is>
          <t>2026-04-02 08:03:30</t>
        </is>
      </c>
      <c r="C927" t="inlineStr">
        <is>
          <t>697c690a3f57a33569661871</t>
        </is>
      </c>
      <c r="D927" t="inlineStr">
        <is>
          <t>Software Engineer - Java, AWS, Kubernetes</t>
        </is>
      </c>
      <c r="E927" t="inlineStr">
        <is>
          <t>1_Discovered</t>
        </is>
      </c>
      <c r="F927" t="inlineStr">
        <is>
          <t>fanout_batch</t>
        </is>
      </c>
      <c r="G927" t="inlineStr">
        <is>
          <t>retarget</t>
        </is>
      </c>
      <c r="H927" t="inlineStr">
        <is>
          <t>seed_paypal_java_backend</t>
        </is>
      </c>
      <c r="I927" t="inlineStr">
        <is>
          <t>PayPal Java Backend</t>
        </is>
      </c>
      <c r="J927"/>
      <c r="K927"/>
      <c r="L927"/>
      <c r="M927"/>
      <c r="N927">
        <v>71.0</v>
      </c>
      <c r="O927" t="inlineStr">
        <is>
          <t>fail</t>
        </is>
      </c>
      <c r="P927">
        <f>HYPERLINK("file:///Users/jingyizhang/Documents/Playground/projects/local_job_resume_pipeline/data/deliverables/resume_portfolio/by_company/fico/2026-04-02/697c690a3f57a33569661871/resume.md","/Users/jingyizhang/Documents/Playground/projects/local_job_resume_pipeline/data/deliverables/resume_portfolio/by_company/fico/2026-04-02/697c690a3f57a33569661871/resume.md")</f>
      </c>
      <c r="Q927"/>
      <c r="R927">
        <f>HYPERLINK("https://fico.wd1.myworkdayjobs.com/en-US/External/job/Work-from-Home-United-States/Software-Engineer---Java--AWS--Kubernetes_31288?source=LinkedIn","https://fico.wd1.myworkdayjobs.com/en-US/External/job/Work-from-Home-United-States/Software-Engineer---Java--AWS--Kubernetes_31288?source=LinkedIn")</f>
      </c>
    </row>
    <row r="928">
      <c r="A928" t="inlineStr">
        <is>
          <t>Microsoft</t>
        </is>
      </c>
      <c r="B928" t="inlineStr">
        <is>
          <t>2026-04-02 07:58:07</t>
        </is>
      </c>
      <c r="C928" t="inlineStr">
        <is>
          <t>69ce67df398fb071abf85059</t>
        </is>
      </c>
      <c r="D928" t="inlineStr">
        <is>
          <t>Data Scientist</t>
        </is>
      </c>
      <c r="E928" t="inlineStr">
        <is>
          <t>1_Discovered</t>
        </is>
      </c>
      <c r="F928" t="inlineStr">
        <is>
          <t>fanout_batch</t>
        </is>
      </c>
      <c r="G928" t="inlineStr">
        <is>
          <t>reuse</t>
        </is>
      </c>
      <c r="H928" t="inlineStr">
        <is>
          <t>seed_plaid_data_scientist</t>
        </is>
      </c>
      <c r="I928" t="inlineStr">
        <is>
          <t>Plaid Data Scientist</t>
        </is>
      </c>
      <c r="J928"/>
      <c r="K928"/>
      <c r="L928"/>
      <c r="M928"/>
      <c r="N928"/>
      <c r="O928"/>
      <c r="P928"/>
      <c r="Q928"/>
      <c r="R928">
        <f>HYPERLINK("https://apply.careers.microsoft.com/careers/job/1970393556856014?utm_source=linkedin&amp;domain=microsoft.com&amp;src=LinkedIn","https://apply.careers.microsoft.com/careers/job/1970393556856014?utm_source=linkedin&amp;domain=microsoft.com&amp;src=LinkedIn")</f>
      </c>
    </row>
    <row r="929">
      <c r="A929" t="inlineStr">
        <is>
          <t>Microsoft</t>
        </is>
      </c>
      <c r="B929" t="inlineStr">
        <is>
          <t>2026-04-02 07:53:54</t>
        </is>
      </c>
      <c r="C929" t="inlineStr">
        <is>
          <t>69ce66e254f00230c6cff008</t>
        </is>
      </c>
      <c r="D929" t="inlineStr">
        <is>
          <t>Applied Scientist</t>
        </is>
      </c>
      <c r="E929" t="inlineStr">
        <is>
          <t>1_Discovered</t>
        </is>
      </c>
      <c r="F929" t="inlineStr">
        <is>
          <t>fanout_batch</t>
        </is>
      </c>
      <c r="G929" t="inlineStr">
        <is>
          <t>reuse</t>
        </is>
      </c>
      <c r="H929" t="inlineStr">
        <is>
          <t>seed_plaid_data_scientist</t>
        </is>
      </c>
      <c r="I929" t="inlineStr">
        <is>
          <t>Plaid Data Scientist</t>
        </is>
      </c>
      <c r="J929"/>
      <c r="K929"/>
      <c r="L929"/>
      <c r="M929"/>
      <c r="N929"/>
      <c r="O929"/>
      <c r="P929"/>
      <c r="Q929"/>
      <c r="R929">
        <f>HYPERLINK("https://apply.careers.microsoft.com/careers/job/1970393556855649?utm_source=linkedin&amp;domain=microsoft.com&amp;src=LinkedIn","https://apply.careers.microsoft.com/careers/job/1970393556855649?utm_source=linkedin&amp;domain=microsoft.com&amp;src=LinkedIn")</f>
      </c>
    </row>
    <row r="930">
      <c r="A930" t="inlineStr">
        <is>
          <t>FICO</t>
        </is>
      </c>
      <c r="B930" t="inlineStr">
        <is>
          <t>2026-04-02 07:47:36</t>
        </is>
      </c>
      <c r="C930" t="inlineStr">
        <is>
          <t>6999546d81476f6176b1f81f</t>
        </is>
      </c>
      <c r="D930" t="inlineStr">
        <is>
          <t>Analytic Science - Scientist II</t>
        </is>
      </c>
      <c r="E930" t="inlineStr">
        <is>
          <t>1_Discovered</t>
        </is>
      </c>
      <c r="F930" t="inlineStr">
        <is>
          <t>fanout_batch</t>
        </is>
      </c>
      <c r="G930" t="inlineStr">
        <is>
          <t>retarget</t>
        </is>
      </c>
      <c r="H930" t="inlineStr">
        <is>
          <t>seed_amazon_agi_ml_anchor</t>
        </is>
      </c>
      <c r="I930" t="inlineStr">
        <is>
          <t>Amazon AGI/LLM Anchor</t>
        </is>
      </c>
      <c r="J930" t="inlineStr">
        <is>
          <t>amazon_ai_ads_mainline</t>
        </is>
      </c>
      <c r="K930" t="inlineStr">
        <is>
          <t>mainline</t>
        </is>
      </c>
      <c r="L930"/>
      <c r="M930"/>
      <c r="N930">
        <v>95.0</v>
      </c>
      <c r="O930" t="inlineStr">
        <is>
          <t>pass</t>
        </is>
      </c>
      <c r="P930">
        <f>HYPERLINK("file:///Users/jingyizhang/Documents/Playground/projects/local_job_resume_pipeline/data/deliverables/resume_portfolio/by_company/fico/2026-04-02/6999546d81476f6176b1f81f/resume.md","/Users/jingyizhang/Documents/Playground/projects/local_job_resume_pipeline/data/deliverables/resume_portfolio/by_company/fico/2026-04-02/6999546d81476f6176b1f81f/resume.md")</f>
      </c>
      <c r="Q930"/>
      <c r="R930">
        <f>HYPERLINK("https://fico.wd1.myworkdayjobs.com/en-US/External/job/San-Diego-CA/Analytic-Science---Scientist-II_31113?source=LinkedIn","https://fico.wd1.myworkdayjobs.com/en-US/External/job/San-Diego-CA/Analytic-Science---Scientist-II_31113?source=LinkedIn")</f>
      </c>
    </row>
    <row r="931">
      <c r="A931" t="inlineStr">
        <is>
          <t>Microsoft</t>
        </is>
      </c>
      <c r="B931" t="inlineStr">
        <is>
          <t>2026-04-02 07:45:38</t>
        </is>
      </c>
      <c r="C931" t="inlineStr">
        <is>
          <t>69ce64f2cdb525785fb970a5</t>
        </is>
      </c>
      <c r="D931" t="inlineStr">
        <is>
          <t>Software Engineer</t>
        </is>
      </c>
      <c r="E931" t="inlineStr">
        <is>
          <t>1_Discovered</t>
        </is>
      </c>
      <c r="F931" t="inlineStr">
        <is>
          <t>fanout_batch</t>
        </is>
      </c>
      <c r="G931" t="inlineStr">
        <is>
          <t>reuse</t>
        </is>
      </c>
      <c r="H931" t="inlineStr">
        <is>
          <t>seed_microsoft_coreai_platform_anchor</t>
        </is>
      </c>
      <c r="I931" t="inlineStr">
        <is>
          <t>Microsoft CoreAI/BIC Platform Anchor</t>
        </is>
      </c>
      <c r="J931"/>
      <c r="K931"/>
      <c r="L931"/>
      <c r="M931"/>
      <c r="N931"/>
      <c r="O931"/>
      <c r="P931"/>
      <c r="Q931"/>
      <c r="R931">
        <f>HYPERLINK("https://apply.careers.microsoft.com/careers/job/1970393556855685?utm_source=linkedin&amp;domain=microsoft.com&amp;src=LinkedIn","https://apply.careers.microsoft.com/careers/job/1970393556855685?utm_source=linkedin&amp;domain=microsoft.com&amp;src=LinkedIn")</f>
      </c>
    </row>
    <row r="932">
      <c r="A932" t="inlineStr">
        <is>
          <t>Known</t>
        </is>
      </c>
      <c r="B932" t="inlineStr">
        <is>
          <t>2026-04-02 07:38:54</t>
        </is>
      </c>
      <c r="C932" t="inlineStr">
        <is>
          <t>695c3a48f1f8465b79f24449</t>
        </is>
      </c>
      <c r="D932" t="inlineStr">
        <is>
          <t>Data Scientist (Generative AI Focus)</t>
        </is>
      </c>
      <c r="E932" t="inlineStr">
        <is>
          <t>1_Discovered</t>
        </is>
      </c>
      <c r="F932" t="inlineStr">
        <is>
          <t>fanout_batch</t>
        </is>
      </c>
      <c r="G932" t="inlineStr">
        <is>
          <t>retarget</t>
        </is>
      </c>
      <c r="H932" t="inlineStr">
        <is>
          <t>seed_linkedin_mle_foundation</t>
        </is>
      </c>
      <c r="I932" t="inlineStr">
        <is>
          <t>LinkedIn MLE Foundation</t>
        </is>
      </c>
      <c r="J932"/>
      <c r="K932"/>
      <c r="L932"/>
      <c r="M932"/>
      <c r="N932">
        <v>94.0</v>
      </c>
      <c r="O932" t="inlineStr">
        <is>
          <t>pass</t>
        </is>
      </c>
      <c r="P932">
        <f>HYPERLINK("file:///Users/jingyizhang/Documents/Playground/projects/local_job_resume_pipeline/data/deliverables/resume_portfolio/by_company/known/2026-04-02/695c3a48f1f8465b79f24449/resume.md","/Users/jingyizhang/Documents/Playground/projects/local_job_resume_pipeline/data/deliverables/resume_portfolio/by_company/known/2026-04-02/695c3a48f1f8465b79f24449/resume.md")</f>
      </c>
      <c r="Q932"/>
      <c r="R932">
        <f>HYPERLINK("https://boards.greenhouse.io/embed/job_app?token=8016728002&amp;utm_source=jobright","https://boards.greenhouse.io/embed/job_app?token=8016728002&amp;utm_source=jobright")</f>
      </c>
    </row>
    <row r="933">
      <c r="A933" t="inlineStr">
        <is>
          <t>OneTrust</t>
        </is>
      </c>
      <c r="B933" t="inlineStr">
        <is>
          <t>2026-04-02 07:22:40</t>
        </is>
      </c>
      <c r="C933" t="inlineStr">
        <is>
          <t>69793d3f52f3c27ec645920c</t>
        </is>
      </c>
      <c r="D933" t="inlineStr">
        <is>
          <t>Data Platform Engineer</t>
        </is>
      </c>
      <c r="E933" t="inlineStr">
        <is>
          <t>1_Discovered</t>
        </is>
      </c>
      <c r="F933" t="inlineStr">
        <is>
          <t>fanout_batch</t>
        </is>
      </c>
      <c r="G933" t="inlineStr">
        <is>
          <t>reuse</t>
        </is>
      </c>
      <c r="H933" t="inlineStr">
        <is>
          <t>seed_qualified_health_data_engineer</t>
        </is>
      </c>
      <c r="I933" t="inlineStr">
        <is>
          <t>Qualified Health Data Engineer</t>
        </is>
      </c>
      <c r="J933"/>
      <c r="K933"/>
      <c r="L933"/>
      <c r="M933"/>
      <c r="N933"/>
      <c r="O933"/>
      <c r="P933"/>
      <c r="Q933"/>
      <c r="R933">
        <f>HYPERLINK("https://boards.greenhouse.io/embed/job_app?token=7546419&amp;utm_source=jobright","https://boards.greenhouse.io/embed/job_app?token=7546419&amp;utm_source=jobright")</f>
      </c>
    </row>
    <row r="934">
      <c r="A934" t="inlineStr">
        <is>
          <t>ModMed</t>
        </is>
      </c>
      <c r="B934" t="inlineStr">
        <is>
          <t>2026-04-02 07:22:28</t>
        </is>
      </c>
      <c r="C934" t="inlineStr">
        <is>
          <t>69961353e0bddb6acac472ee</t>
        </is>
      </c>
      <c r="D934" t="inlineStr">
        <is>
          <t>Software Engineer 1</t>
        </is>
      </c>
      <c r="E934" t="inlineStr">
        <is>
          <t>1_Discovered</t>
        </is>
      </c>
      <c r="F934" t="inlineStr">
        <is>
          <t>fanout_batch</t>
        </is>
      </c>
      <c r="G934" t="inlineStr">
        <is>
          <t>retarget</t>
        </is>
      </c>
      <c r="H934" t="inlineStr">
        <is>
          <t>seed_paypal_java_backend</t>
        </is>
      </c>
      <c r="I934" t="inlineStr">
        <is>
          <t>PayPal Java Backend</t>
        </is>
      </c>
      <c r="J934"/>
      <c r="K934"/>
      <c r="L934"/>
      <c r="M934"/>
      <c r="N934">
        <v>95.4</v>
      </c>
      <c r="O934" t="inlineStr">
        <is>
          <t>pass</t>
        </is>
      </c>
      <c r="P934">
        <f>HYPERLINK("file:///Users/jingyizhang/Documents/Playground/projects/local_job_resume_pipeline/data/deliverables/resume_portfolio/by_company/modmed/2026-04-02/69961353e0bddb6acac472ee/resume.md","/Users/jingyizhang/Documents/Playground/projects/local_job_resume_pipeline/data/deliverables/resume_portfolio/by_company/modmed/2026-04-02/69961353e0bddb6acac472ee/resume.md")</f>
      </c>
      <c r="Q934"/>
      <c r="R934">
        <f>HYPERLINK("https://modmed.wd501.myworkdayjobs.com/ModMed12/job/Boca-Raton-FL/Software-Engineer-1_R4021","https://modmed.wd501.myworkdayjobs.com/ModMed12/job/Boca-Raton-FL/Software-Engineer-1_R4021")</f>
      </c>
    </row>
    <row r="935">
      <c r="A935" t="inlineStr">
        <is>
          <t>Valon</t>
        </is>
      </c>
      <c r="B935" t="inlineStr">
        <is>
          <t>2026-04-02 07:18:31</t>
        </is>
      </c>
      <c r="C935" t="inlineStr">
        <is>
          <t>697a7c469d60e431a16bfd27</t>
        </is>
      </c>
      <c r="D935" t="inlineStr">
        <is>
          <t>Senior Software Engineer</t>
        </is>
      </c>
      <c r="E935" t="inlineStr">
        <is>
          <t>1_Discovered</t>
        </is>
      </c>
      <c r="F935" t="inlineStr">
        <is>
          <t>fanout_batch</t>
        </is>
      </c>
      <c r="G935" t="inlineStr">
        <is>
          <t>retarget</t>
        </is>
      </c>
      <c r="H935" t="inlineStr">
        <is>
          <t>seed_google_cloud_infra_anchor_candidate</t>
        </is>
      </c>
      <c r="I935" t="inlineStr">
        <is>
          <t>Google Cloud Infra Anchor</t>
        </is>
      </c>
      <c r="J935" t="inlineStr">
        <is>
          <t>google_cloud_infra_mainline</t>
        </is>
      </c>
      <c r="K935" t="inlineStr">
        <is>
          <t>mainline</t>
        </is>
      </c>
      <c r="L935"/>
      <c r="M935"/>
      <c r="N935">
        <v>93.5</v>
      </c>
      <c r="O935" t="inlineStr">
        <is>
          <t>pass</t>
        </is>
      </c>
      <c r="P935">
        <f>HYPERLINK("file:///Users/jingyizhang/Documents/Playground/projects/local_job_resume_pipeline/data/deliverables/resume_portfolio/by_company/valon/2026-04-02/697a7c469d60e431a16bfd27/resume.md","/Users/jingyizhang/Documents/Playground/projects/local_job_resume_pipeline/data/deliverables/resume_portfolio/by_company/valon/2026-04-02/697a7c469d60e431a16bfd27/resume.md")</f>
      </c>
      <c r="Q935"/>
      <c r="R935">
        <f>HYPERLINK("https://www.valon.ai/about?ashby_jid=6052f210-29f1-4ef4-93cc-48029969eaf7&amp;utm_source=BMXoVpKAGY#careers","https://www.valon.ai/about?ashby_jid=6052f210-29f1-4ef4-93cc-48029969eaf7&amp;utm_source=BMXoVpKAGY#careers")</f>
      </c>
    </row>
    <row r="936">
      <c r="A936" t="inlineStr">
        <is>
          <t>Fireworks AI</t>
        </is>
      </c>
      <c r="B936" t="inlineStr">
        <is>
          <t>2026-04-02 07:18:05</t>
        </is>
      </c>
      <c r="C936" t="inlineStr">
        <is>
          <t>6913e4131465e02904e9864a</t>
        </is>
      </c>
      <c r="D936" t="inlineStr">
        <is>
          <t>AI Researcher</t>
        </is>
      </c>
      <c r="E936" t="inlineStr">
        <is>
          <t>1_Discovered</t>
        </is>
      </c>
      <c r="F936" t="inlineStr">
        <is>
          <t>fanout_batch</t>
        </is>
      </c>
      <c r="G936" t="inlineStr">
        <is>
          <t>reuse</t>
        </is>
      </c>
      <c r="H936" t="inlineStr">
        <is>
          <t>seed_amazon_agi_ml_anchor</t>
        </is>
      </c>
      <c r="I936" t="inlineStr">
        <is>
          <t>Amazon AGI/LLM Anchor</t>
        </is>
      </c>
      <c r="J936" t="inlineStr">
        <is>
          <t>amazon_ai_ads_mainline</t>
        </is>
      </c>
      <c r="K936" t="inlineStr">
        <is>
          <t>mainline</t>
        </is>
      </c>
      <c r="L936"/>
      <c r="M936"/>
      <c r="N936"/>
      <c r="O936"/>
      <c r="P936"/>
      <c r="Q936"/>
      <c r="R936">
        <f>HYPERLINK("https://boards.greenhouse.io/embed/job_app?token=4000239009&amp;utm_source=jobright","https://boards.greenhouse.io/embed/job_app?token=4000239009&amp;utm_source=jobright")</f>
      </c>
    </row>
    <row r="937">
      <c r="A937" t="inlineStr">
        <is>
          <t>Dimagi</t>
        </is>
      </c>
      <c r="B937" t="inlineStr">
        <is>
          <t>2026-04-02 07:17:31</t>
        </is>
      </c>
      <c r="C937" t="inlineStr">
        <is>
          <t>69ce5e5b891d7b11cfcc8049</t>
        </is>
      </c>
      <c r="D937" t="inlineStr">
        <is>
          <t>Software Engineer II</t>
        </is>
      </c>
      <c r="E937" t="inlineStr">
        <is>
          <t>1_Discovered</t>
        </is>
      </c>
      <c r="F937" t="inlineStr">
        <is>
          <t>fanout_batch</t>
        </is>
      </c>
      <c r="G937" t="inlineStr">
        <is>
          <t>reuse</t>
        </is>
      </c>
      <c r="H937" t="inlineStr">
        <is>
          <t>seed_generalist_dotnet_enterprise</t>
        </is>
      </c>
      <c r="I937" t="inlineStr">
        <is>
          <t>Generalist DotNet Enterprise</t>
        </is>
      </c>
      <c r="J937"/>
      <c r="K937"/>
      <c r="L937"/>
      <c r="M937"/>
      <c r="N937"/>
      <c r="O937"/>
      <c r="P937"/>
      <c r="Q937"/>
      <c r="R937">
        <f>HYPERLINK("https://boards.greenhouse.io/embed/job_app?token=7721272&amp;utm_source=jobright","https://boards.greenhouse.io/embed/job_app?token=7721272&amp;utm_source=jobright")</f>
      </c>
    </row>
    <row r="938">
      <c r="A938" t="inlineStr">
        <is>
          <t>Amazon Web Services (AWS)</t>
        </is>
      </c>
      <c r="B938" t="inlineStr">
        <is>
          <t>2026-04-02 07:16:07</t>
        </is>
      </c>
      <c r="C938" t="inlineStr">
        <is>
          <t>69ce5e07891d7b11cfcc8020</t>
        </is>
      </c>
      <c r="D938" t="inlineStr">
        <is>
          <t>Software Development Engineer, EC2 UltraServer Delivery Team</t>
        </is>
      </c>
      <c r="E938" t="inlineStr">
        <is>
          <t>1_Discovered</t>
        </is>
      </c>
      <c r="F938" t="inlineStr">
        <is>
          <t>seed_validation</t>
        </is>
      </c>
      <c r="G938" t="inlineStr">
        <is>
          <t>reuse</t>
        </is>
      </c>
      <c r="H938" t="inlineStr">
        <is>
          <t>seed_platform_ai_automation</t>
        </is>
      </c>
      <c r="I938" t="inlineStr">
        <is>
          <t>Platform AI Automation</t>
        </is>
      </c>
      <c r="J938"/>
      <c r="K938"/>
      <c r="L938"/>
      <c r="M938"/>
      <c r="N938"/>
      <c r="O938"/>
      <c r="P938"/>
      <c r="Q938"/>
      <c r="R938">
        <f>HYPERLINK("https://www.amazon.jobs/jobs/10381876/software-development-engineer-ec-ultraserver-delivery-team?cmpid=SPLICX0248M&amp;utm_source=linkedin.com&amp;utm_campaign=cxro&amp;utm_medium=social_media&amp;utm_content=job_posting&amp;ss=paid","https://www.amazon.jobs/jobs/10381876/software-development-engineer-ec-ultraserver-delivery-team?cmpid=SPLICX0248M&amp;utm_source=linkedin.com&amp;utm_campaign=cxro&amp;utm_medium=social_media&amp;utm_content=job_posting&amp;ss=paid")</f>
      </c>
    </row>
    <row r="939">
      <c r="A939" t="inlineStr">
        <is>
          <t>Root Inc.</t>
        </is>
      </c>
      <c r="B939" t="inlineStr">
        <is>
          <t>2026-04-02 07:16:01</t>
        </is>
      </c>
      <c r="C939" t="inlineStr">
        <is>
          <t>69a3ded90da45516f16cd050</t>
        </is>
      </c>
      <c r="D939" t="inlineStr">
        <is>
          <t>Data Scientist II, Interventions</t>
        </is>
      </c>
      <c r="E939" t="inlineStr">
        <is>
          <t>1_Discovered</t>
        </is>
      </c>
      <c r="F939" t="inlineStr">
        <is>
          <t>fanout_batch</t>
        </is>
      </c>
      <c r="G939" t="inlineStr">
        <is>
          <t>retarget</t>
        </is>
      </c>
      <c r="H939" t="inlineStr">
        <is>
          <t>seed_jpmc_data_mlops_anchor</t>
        </is>
      </c>
      <c r="I939" t="inlineStr">
        <is>
          <t>JPMorganChase Data Platform/MLOps Anchor</t>
        </is>
      </c>
      <c r="J939" t="inlineStr">
        <is>
          <t>jpmc_data_mlops_mainline</t>
        </is>
      </c>
      <c r="K939" t="inlineStr">
        <is>
          <t>mainline</t>
        </is>
      </c>
      <c r="L939"/>
      <c r="M939"/>
      <c r="N939">
        <v>94.6</v>
      </c>
      <c r="O939" t="inlineStr">
        <is>
          <t>pass</t>
        </is>
      </c>
      <c r="P939">
        <f>HYPERLINK("file:///Users/jingyizhang/Documents/Playground/projects/local_job_resume_pipeline/data/deliverables/resume_portfolio/by_company/root-inc/2026-04-02/69a3ded90da45516f16cd050/resume.md","/Users/jingyizhang/Documents/Playground/projects/local_job_resume_pipeline/data/deliverables/resume_portfolio/by_company/root-inc/2026-04-02/69a3ded90da45516f16cd050/resume.md")</f>
      </c>
      <c r="Q939"/>
      <c r="R939">
        <f>HYPERLINK("https://ats.rippling.com/joinroot/jobs/8e1911c9-df14-40a5-abd1-065d091daca6?src=LinkedIn","https://ats.rippling.com/joinroot/jobs/8e1911c9-df14-40a5-abd1-065d091daca6?src=LinkedIn")</f>
      </c>
    </row>
    <row r="940">
      <c r="A940" t="inlineStr">
        <is>
          <t>Zoox</t>
        </is>
      </c>
      <c r="B940" t="inlineStr">
        <is>
          <t>2026-04-02 07:13:13</t>
        </is>
      </c>
      <c r="C940" t="inlineStr">
        <is>
          <t>6978262152f3c27ec6445334</t>
        </is>
      </c>
      <c r="D940" t="inlineStr">
        <is>
          <t>Software Engineer, ML Core</t>
        </is>
      </c>
      <c r="E940" t="inlineStr">
        <is>
          <t>1_Discovered</t>
        </is>
      </c>
      <c r="F940" t="inlineStr">
        <is>
          <t>fanout_batch</t>
        </is>
      </c>
      <c r="G940" t="inlineStr">
        <is>
          <t>reuse</t>
        </is>
      </c>
      <c r="H940" t="inlineStr">
        <is>
          <t>seed_amazon_agi_ml_anchor</t>
        </is>
      </c>
      <c r="I940" t="inlineStr">
        <is>
          <t>Amazon AGI/LLM Anchor</t>
        </is>
      </c>
      <c r="J940" t="inlineStr">
        <is>
          <t>amazon_ai_ads_mainline</t>
        </is>
      </c>
      <c r="K940" t="inlineStr">
        <is>
          <t>mainline</t>
        </is>
      </c>
      <c r="L940"/>
      <c r="M940"/>
      <c r="N940"/>
      <c r="O940"/>
      <c r="P940"/>
      <c r="Q940"/>
      <c r="R940">
        <f>HYPERLINK("https://jobs.lever.co/zoox/686769f4-2fd5-4333-8fe4-548891e675af/apply?source=jobright","https://jobs.lever.co/zoox/686769f4-2fd5-4333-8fe4-548891e675af/apply?source=jobright")</f>
      </c>
    </row>
    <row r="941">
      <c r="A941" t="inlineStr">
        <is>
          <t>OpenAI</t>
        </is>
      </c>
      <c r="B941" t="inlineStr">
        <is>
          <t>2026-04-02 07:06:37</t>
        </is>
      </c>
      <c r="C941" t="inlineStr">
        <is>
          <t>695dde09e4cdbb1454cfd921</t>
        </is>
      </c>
      <c r="D941" t="inlineStr">
        <is>
          <t>Software Engineer, Cooperative AI</t>
        </is>
      </c>
      <c r="E941" t="inlineStr">
        <is>
          <t>1_Discovered</t>
        </is>
      </c>
      <c r="F941" t="inlineStr">
        <is>
          <t>seed_validation</t>
        </is>
      </c>
      <c r="G941" t="inlineStr">
        <is>
          <t>reuse</t>
        </is>
      </c>
      <c r="H941" t="inlineStr">
        <is>
          <t>seed_zillow_agentic_mle</t>
        </is>
      </c>
      <c r="I941" t="inlineStr">
        <is>
          <t>Zillow Agentic MLE</t>
        </is>
      </c>
      <c r="J941"/>
      <c r="K941"/>
      <c r="L941"/>
      <c r="M941"/>
      <c r="N941"/>
      <c r="O941"/>
      <c r="P941"/>
      <c r="Q941"/>
      <c r="R941">
        <f>HYPERLINK("https://jobs.ashbyhq.com/openai/7613aca3-9dd8-41cd-b114-06ef4de967a9/application","https://jobs.ashbyhq.com/openai/7613aca3-9dd8-41cd-b114-06ef4de967a9/application")</f>
      </c>
    </row>
    <row r="942">
      <c r="A942" t="inlineStr">
        <is>
          <t>Suffolk Construction</t>
        </is>
      </c>
      <c r="B942" t="inlineStr">
        <is>
          <t>2026-04-02 06:59:50</t>
        </is>
      </c>
      <c r="C942" t="inlineStr">
        <is>
          <t>69b17630d04c69566c73c128</t>
        </is>
      </c>
      <c r="D942" t="inlineStr">
        <is>
          <t>AI Engineer</t>
        </is>
      </c>
      <c r="E942" t="inlineStr">
        <is>
          <t>1_Discovered</t>
        </is>
      </c>
      <c r="F942" t="inlineStr">
        <is>
          <t>fanout_batch</t>
        </is>
      </c>
      <c r="G942" t="inlineStr">
        <is>
          <t>retarget</t>
        </is>
      </c>
      <c r="H942" t="inlineStr">
        <is>
          <t>seed_h2o_ai_engineer</t>
        </is>
      </c>
      <c r="I942" t="inlineStr">
        <is>
          <t>H2O AI Engineer</t>
        </is>
      </c>
      <c r="J942"/>
      <c r="K942"/>
      <c r="L942"/>
      <c r="M942"/>
      <c r="N942">
        <v>94.0</v>
      </c>
      <c r="O942" t="inlineStr">
        <is>
          <t>pass</t>
        </is>
      </c>
      <c r="P942">
        <f>HYPERLINK("file:///Users/jingyizhang/Documents/Playground/projects/local_job_resume_pipeline/data/deliverables/resume_portfolio/by_company/suffolk-construction/2026-04-02/69b17630d04c69566c73c128/resume.md","/Users/jingyizhang/Documents/Playground/projects/local_job_resume_pipeline/data/deliverables/resume_portfolio/by_company/suffolk-construction/2026-04-02/69b17630d04c69566c73c128/resume.md")</f>
      </c>
      <c r="Q942"/>
      <c r="R942">
        <f>HYPERLINK("https://careers-suffolkconstruction.icims.com/jobs/10714/ai-engineer/job?mode=apply&amp;iis=LinkedIn","https://careers-suffolkconstruction.icims.com/jobs/10714/ai-engineer/job?mode=apply&amp;iis=LinkedIn")</f>
      </c>
    </row>
    <row r="943">
      <c r="A943" t="inlineStr">
        <is>
          <t>Auger</t>
        </is>
      </c>
      <c r="B943" t="inlineStr">
        <is>
          <t>2026-04-02 06:59:19</t>
        </is>
      </c>
      <c r="C943" t="inlineStr">
        <is>
          <t>6941ec3d14ee092a69000521</t>
        </is>
      </c>
      <c r="D943" t="inlineStr">
        <is>
          <t>Quality Assurance Engineer</t>
        </is>
      </c>
      <c r="E943" t="inlineStr">
        <is>
          <t>1_Discovered</t>
        </is>
      </c>
      <c r="F943" t="inlineStr">
        <is>
          <t>fanout_batch</t>
        </is>
      </c>
      <c r="G943" t="inlineStr">
        <is>
          <t>retarget</t>
        </is>
      </c>
      <c r="H943" t="inlineStr">
        <is>
          <t>seed_magnite_sdet</t>
        </is>
      </c>
      <c r="I943" t="inlineStr">
        <is>
          <t>Magnite SDET</t>
        </is>
      </c>
      <c r="J943"/>
      <c r="K943"/>
      <c r="L943"/>
      <c r="M943"/>
      <c r="N943">
        <v>82.6</v>
      </c>
      <c r="O943" t="inlineStr">
        <is>
          <t>fail</t>
        </is>
      </c>
      <c r="P943">
        <f>HYPERLINK("file:///Users/jingyizhang/Documents/Playground/projects/local_job_resume_pipeline/data/deliverables/resume_portfolio/by_company/auger/2026-04-02/6941ec3d14ee092a69000521/resume.md","/Users/jingyizhang/Documents/Playground/projects/local_job_resume_pipeline/data/deliverables/resume_portfolio/by_company/auger/2026-04-02/6941ec3d14ee092a69000521/resume.md")</f>
      </c>
      <c r="Q943"/>
      <c r="R943">
        <f>HYPERLINK("https://jobs.gem.com/auger/am9icG9zdDrg-r5dGbMDQyuZzGWzVspj?utm_source=GemJobBoardLink&amp;utm_medium=c291cmNlOn_6Jt9NeR2Lx5muox1O82w","https://jobs.gem.com/auger/am9icG9zdDrg-r5dGbMDQyuZzGWzVspj?utm_source=GemJobBoardLink&amp;utm_medium=c291cmNlOn_6Jt9NeR2Lx5muox1O82w")</f>
      </c>
    </row>
    <row r="944">
      <c r="A944" t="inlineStr">
        <is>
          <t>Retell AI</t>
        </is>
      </c>
      <c r="B944" t="inlineStr">
        <is>
          <t>2026-04-02 06:59:08</t>
        </is>
      </c>
      <c r="C944" t="inlineStr">
        <is>
          <t>6977ca5dfdeb8243a27ab703</t>
        </is>
      </c>
      <c r="D944" t="inlineStr">
        <is>
          <t>Senior Data Engineer</t>
        </is>
      </c>
      <c r="E944" t="inlineStr">
        <is>
          <t>1_Discovered</t>
        </is>
      </c>
      <c r="F944" t="inlineStr">
        <is>
          <t>seed_validation</t>
        </is>
      </c>
      <c r="G944" t="inlineStr">
        <is>
          <t>reuse</t>
        </is>
      </c>
      <c r="H944" t="inlineStr">
        <is>
          <t>seed_qualified_health_data_engineer</t>
        </is>
      </c>
      <c r="I944" t="inlineStr">
        <is>
          <t>Qualified Health Data Engineer</t>
        </is>
      </c>
      <c r="J944"/>
      <c r="K944"/>
      <c r="L944"/>
      <c r="M944"/>
      <c r="N944"/>
      <c r="O944"/>
      <c r="P944"/>
      <c r="Q944"/>
      <c r="R944">
        <f>HYPERLINK("https://jobs.ashbyhq.com/retell-ai/ce39e733-ac36-481a-bf7b-e2be511441c3?utm_source=LinkedInPaid","https://jobs.ashbyhq.com/retell-ai/ce39e733-ac36-481a-bf7b-e2be511441c3?utm_source=LinkedInPaid")</f>
      </c>
    </row>
    <row r="945">
      <c r="A945" t="inlineStr">
        <is>
          <t>Netflix</t>
        </is>
      </c>
      <c r="B945" t="inlineStr">
        <is>
          <t>2026-04-02 06:58:50</t>
        </is>
      </c>
      <c r="C945" t="inlineStr">
        <is>
          <t>69aee517dfaeda6ff596e912</t>
        </is>
      </c>
      <c r="D945" t="inlineStr">
        <is>
          <t>Machine Learning Engineer (L5) - Content Understanding</t>
        </is>
      </c>
      <c r="E945" t="inlineStr">
        <is>
          <t>1_Discovered</t>
        </is>
      </c>
      <c r="F945" t="inlineStr">
        <is>
          <t>seed_validation</t>
        </is>
      </c>
      <c r="G945" t="inlineStr">
        <is>
          <t>reuse</t>
        </is>
      </c>
      <c r="H945" t="inlineStr">
        <is>
          <t>seed_linkedin_mle_foundation</t>
        </is>
      </c>
      <c r="I945" t="inlineStr">
        <is>
          <t>LinkedIn MLE Foundation</t>
        </is>
      </c>
      <c r="J945"/>
      <c r="K945"/>
      <c r="L945"/>
      <c r="M945"/>
      <c r="N945"/>
      <c r="O945"/>
      <c r="P945"/>
      <c r="Q945"/>
      <c r="R945">
        <f>HYPERLINK("https://explore.jobs.netflix.net/careers/job/790303496227?microsite=netflix.com&amp;utm_source=LinkedIn&amp;domain=netflix.com","https://explore.jobs.netflix.net/careers/job/790303496227?microsite=netflix.com&amp;utm_source=LinkedIn&amp;domain=netflix.com")</f>
      </c>
    </row>
    <row r="946">
      <c r="A946" t="inlineStr">
        <is>
          <t>Amazon Web Services (AWS)</t>
        </is>
      </c>
      <c r="B946" t="inlineStr">
        <is>
          <t>2026-04-02 06:39:18</t>
        </is>
      </c>
      <c r="C946" t="inlineStr">
        <is>
          <t>69ce5566398fb071abf844d9</t>
        </is>
      </c>
      <c r="D946" t="inlineStr">
        <is>
          <t>Software Development Engineer, AWS Agentic AI</t>
        </is>
      </c>
      <c r="E946" t="inlineStr">
        <is>
          <t>1_Discovered</t>
        </is>
      </c>
      <c r="F946" t="inlineStr">
        <is>
          <t>retarget_trial</t>
        </is>
      </c>
      <c r="G946" t="inlineStr">
        <is>
          <t>reuse</t>
        </is>
      </c>
      <c r="H946" t="inlineStr">
        <is>
          <t>seed_aws_agentic_ai_anchor</t>
        </is>
      </c>
      <c r="I946" t="inlineStr">
        <is>
          <t>AWS Agentic AI Anchor</t>
        </is>
      </c>
      <c r="J946"/>
      <c r="K946"/>
      <c r="L946"/>
      <c r="M946"/>
      <c r="N946"/>
      <c r="O946"/>
      <c r="P946"/>
      <c r="Q946"/>
      <c r="R946">
        <f>HYPERLINK("https://www.amazon.jobs/jobs/3202191/software-development-engineer-aws-agentic-ai?cmpid=SPLICX0248M&amp;utm_source=linkedin.com&amp;utm_campaign=cxro&amp;utm_medium=social_media&amp;utm_content=job_posting&amp;ss=paid","https://www.amazon.jobs/jobs/3202191/software-development-engineer-aws-agentic-ai?cmpid=SPLICX0248M&amp;utm_source=linkedin.com&amp;utm_campaign=cxro&amp;utm_medium=social_media&amp;utm_content=job_posting&amp;ss=paid")</f>
      </c>
    </row>
    <row r="947">
      <c r="A947" t="inlineStr">
        <is>
          <t>Komodo Health</t>
        </is>
      </c>
      <c r="B947" t="inlineStr">
        <is>
          <t>2026-04-02 06:37:48</t>
        </is>
      </c>
      <c r="C947" t="inlineStr">
        <is>
          <t>69bc69ea5b89c002acf21221</t>
        </is>
      </c>
      <c r="D947" t="inlineStr">
        <is>
          <t>Data Scientist III</t>
        </is>
      </c>
      <c r="E947" t="inlineStr">
        <is>
          <t>1_Discovered</t>
        </is>
      </c>
      <c r="F947" t="inlineStr">
        <is>
          <t>fanout_batch</t>
        </is>
      </c>
      <c r="G947" t="inlineStr">
        <is>
          <t>retarget</t>
        </is>
      </c>
      <c r="H947" t="inlineStr">
        <is>
          <t>seed_qualified_health_data_engineer</t>
        </is>
      </c>
      <c r="I947" t="inlineStr">
        <is>
          <t>Qualified Health Data Engineer</t>
        </is>
      </c>
      <c r="J947"/>
      <c r="K947"/>
      <c r="L947"/>
      <c r="M947"/>
      <c r="N947">
        <v>70.9</v>
      </c>
      <c r="O947" t="inlineStr">
        <is>
          <t>fail</t>
        </is>
      </c>
      <c r="P947">
        <f>HYPERLINK("file:///Users/jingyizhang/Documents/Playground/projects/local_job_resume_pipeline/data/deliverables/resume_portfolio/by_company/komodo-health/2026-04-02/69bc69ea5b89c002acf21221/resume.md","/Users/jingyizhang/Documents/Playground/projects/local_job_resume_pipeline/data/deliverables/resume_portfolio/by_company/komodo-health/2026-04-02/69bc69ea5b89c002acf21221/resume.md")</f>
      </c>
      <c r="Q947"/>
      <c r="R947">
        <f>HYPERLINK("https://boards.greenhouse.io/embed/job_app?token=8455155002&amp;utm_source=jobright","https://boards.greenhouse.io/embed/job_app?token=8455155002&amp;utm_source=jobright")</f>
      </c>
    </row>
    <row r="948">
      <c r="A948" t="inlineStr">
        <is>
          <t>Affirm</t>
        </is>
      </c>
      <c r="B948" t="inlineStr">
        <is>
          <t>2026-04-02 06:37:23</t>
        </is>
      </c>
      <c r="C948" t="inlineStr">
        <is>
          <t>6941879614ee092a69ffa832</t>
        </is>
      </c>
      <c r="D948" t="inlineStr">
        <is>
          <t>Software Engineer II, Backend (Identity Decisioning)</t>
        </is>
      </c>
      <c r="E948" t="inlineStr">
        <is>
          <t>1_Discovered</t>
        </is>
      </c>
      <c r="F948" t="inlineStr">
        <is>
          <t>fanout_batch</t>
        </is>
      </c>
      <c r="G948" t="inlineStr">
        <is>
          <t>retarget</t>
        </is>
      </c>
      <c r="H948" t="inlineStr">
        <is>
          <t>seed_google_cloud_infra_anchor_candidate</t>
        </is>
      </c>
      <c r="I948" t="inlineStr">
        <is>
          <t>Google Cloud Infra Anchor</t>
        </is>
      </c>
      <c r="J948" t="inlineStr">
        <is>
          <t>google_cloud_infra_mainline</t>
        </is>
      </c>
      <c r="K948" t="inlineStr">
        <is>
          <t>mainline</t>
        </is>
      </c>
      <c r="L948"/>
      <c r="M948"/>
      <c r="N948">
        <v>92.9</v>
      </c>
      <c r="O948" t="inlineStr">
        <is>
          <t>conditional_pass</t>
        </is>
      </c>
      <c r="P948">
        <f>HYPERLINK("file:///Users/jingyizhang/Documents/Playground/projects/local_job_resume_pipeline/data/deliverables/resume_portfolio/by_company/affirm/2026-04-02/6941879614ee092a69ffa832/resume.md","/Users/jingyizhang/Documents/Playground/projects/local_job_resume_pipeline/data/deliverables/resume_portfolio/by_company/affirm/2026-04-02/6941879614ee092a69ffa832/resume.md")</f>
      </c>
      <c r="Q948"/>
      <c r="R948">
        <f>HYPERLINK("https://boards.greenhouse.io/embed/job_app?token=7543978003&amp;utm_source=jobright","https://boards.greenhouse.io/embed/job_app?token=7543978003&amp;utm_source=jobright")</f>
      </c>
    </row>
    <row r="949">
      <c r="A949" t="inlineStr">
        <is>
          <t>EvenUp</t>
        </is>
      </c>
      <c r="B949" t="inlineStr">
        <is>
          <t>2026-04-02 06:23:31</t>
        </is>
      </c>
      <c r="C949" t="inlineStr">
        <is>
          <t>69793d4988e2b47213bd6a73</t>
        </is>
      </c>
      <c r="D949" t="inlineStr">
        <is>
          <t>Data Migration Specialist</t>
        </is>
      </c>
      <c r="E949" t="inlineStr">
        <is>
          <t>1_Discovered</t>
        </is>
      </c>
      <c r="F949" t="inlineStr">
        <is>
          <t>fanout_batch</t>
        </is>
      </c>
      <c r="G949" t="inlineStr">
        <is>
          <t>reuse</t>
        </is>
      </c>
      <c r="H949" t="inlineStr">
        <is>
          <t>seed_qualified_health_data_engineer</t>
        </is>
      </c>
      <c r="I949" t="inlineStr">
        <is>
          <t>Qualified Health Data Engineer</t>
        </is>
      </c>
      <c r="J949"/>
      <c r="K949"/>
      <c r="L949"/>
      <c r="M949"/>
      <c r="N949"/>
      <c r="O949"/>
      <c r="P949"/>
      <c r="Q949"/>
      <c r="R949">
        <f>HYPERLINK("https://jobs.ashbyhq.com/evenup/9cdfd59f-3525-4d28-962d-e5539332f8c1/application?utm_source=wvmGBjmzQQ&amp;source=linkedin","https://jobs.ashbyhq.com/evenup/9cdfd59f-3525-4d28-962d-e5539332f8c1/application?utm_source=wvmGBjmzQQ&amp;source=linkedin")</f>
      </c>
    </row>
    <row r="950">
      <c r="A950" t="inlineStr">
        <is>
          <t>Auger</t>
        </is>
      </c>
      <c r="B950" t="inlineStr">
        <is>
          <t>2026-04-02 06:23:17</t>
        </is>
      </c>
      <c r="C950" t="inlineStr">
        <is>
          <t>694197d7bdcf884a5add4d85</t>
        </is>
      </c>
      <c r="D950" t="inlineStr">
        <is>
          <t>Applied Scientists - AI Economics</t>
        </is>
      </c>
      <c r="E950" t="inlineStr">
        <is>
          <t>1_Discovered</t>
        </is>
      </c>
      <c r="F950" t="inlineStr">
        <is>
          <t>fanout_batch</t>
        </is>
      </c>
      <c r="G950" t="inlineStr">
        <is>
          <t>retarget</t>
        </is>
      </c>
      <c r="H950" t="inlineStr">
        <is>
          <t>seed_h2o_ai_engineer</t>
        </is>
      </c>
      <c r="I950" t="inlineStr">
        <is>
          <t>H2O AI Engineer</t>
        </is>
      </c>
      <c r="J950"/>
      <c r="K950"/>
      <c r="L950"/>
      <c r="M950"/>
      <c r="N950">
        <v>94.6</v>
      </c>
      <c r="O950" t="inlineStr">
        <is>
          <t>pass</t>
        </is>
      </c>
      <c r="P950">
        <f>HYPERLINK("file:///Users/jingyizhang/Documents/Playground/projects/local_job_resume_pipeline/data/deliverables/resume_portfolio/by_company/auger/2026-04-02/694197d7bdcf884a5add4d85/resume.md","/Users/jingyizhang/Documents/Playground/projects/local_job_resume_pipeline/data/deliverables/resume_portfolio/by_company/auger/2026-04-02/694197d7bdcf884a5add4d85/resume.md")</f>
      </c>
      <c r="Q950"/>
      <c r="R950">
        <f>HYPERLINK("https://jobs.gem.com/auger/am9icG9zdDrzWFtE2F8A52HbX2ACtN8a?utm_source=GemJobBoardLink&amp;utm_medium=c291cmNlOn_6Jt9NeR2Lx5muox1O82w","https://jobs.gem.com/auger/am9icG9zdDrzWFtE2F8A52HbX2ACtN8a?utm_source=GemJobBoardLink&amp;utm_medium=c291cmNlOn_6Jt9NeR2Lx5muox1O82w")</f>
      </c>
    </row>
    <row r="951">
      <c r="A951" t="inlineStr">
        <is>
          <t>Coram AI</t>
        </is>
      </c>
      <c r="B951" t="inlineStr">
        <is>
          <t>2026-04-02 06:23:05</t>
        </is>
      </c>
      <c r="C951" t="inlineStr">
        <is>
          <t>69961beace78e77b4fda10f1</t>
        </is>
      </c>
      <c r="D951" t="inlineStr">
        <is>
          <t>Software Engineer - Infrastructure</t>
        </is>
      </c>
      <c r="E951" t="inlineStr">
        <is>
          <t>1_Discovered</t>
        </is>
      </c>
      <c r="F951" t="inlineStr">
        <is>
          <t>fanout_batch</t>
        </is>
      </c>
      <c r="G951" t="inlineStr">
        <is>
          <t>reuse</t>
        </is>
      </c>
      <c r="H951" t="inlineStr">
        <is>
          <t>seed_trimedx_platform_multicloud</t>
        </is>
      </c>
      <c r="I951" t="inlineStr">
        <is>
          <t>TRIMEDX Platform Multicloud</t>
        </is>
      </c>
      <c r="J951"/>
      <c r="K951"/>
      <c r="L951"/>
      <c r="M951"/>
      <c r="N951"/>
      <c r="O951"/>
      <c r="P951"/>
      <c r="Q951"/>
      <c r="R951">
        <f>HYPERLINK("https://jobs.ashbyhq.com/coram-ai/8dbba216-3d4f-461e-bf98-e5d0f3645840","https://jobs.ashbyhq.com/coram-ai/8dbba216-3d4f-461e-bf98-e5d0f3645840")</f>
      </c>
    </row>
    <row r="952">
      <c r="A952" t="inlineStr">
        <is>
          <t>Retell AI</t>
        </is>
      </c>
      <c r="B952" t="inlineStr">
        <is>
          <t>2026-04-02 06:23:00</t>
        </is>
      </c>
      <c r="C952" t="inlineStr">
        <is>
          <t>6977cf9cfdeb8243a27abd6b</t>
        </is>
      </c>
      <c r="D952" t="inlineStr">
        <is>
          <t>Senior Software Engineer, AI Automations</t>
        </is>
      </c>
      <c r="E952" t="inlineStr">
        <is>
          <t>1_Discovered</t>
        </is>
      </c>
      <c r="F952" t="inlineStr">
        <is>
          <t>fanout_batch</t>
        </is>
      </c>
      <c r="G952" t="inlineStr">
        <is>
          <t>retarget</t>
        </is>
      </c>
      <c r="H952" t="inlineStr">
        <is>
          <t>seed_aws_support_backend_anchor</t>
        </is>
      </c>
      <c r="I952" t="inlineStr">
        <is>
          <t>AWS Support Backend Anchor</t>
        </is>
      </c>
      <c r="J952"/>
      <c r="K952"/>
      <c r="L952"/>
      <c r="M952"/>
      <c r="N952">
        <v>94.3</v>
      </c>
      <c r="O952" t="inlineStr">
        <is>
          <t>pass</t>
        </is>
      </c>
      <c r="P952">
        <f>HYPERLINK("file:///Users/jingyizhang/Documents/Playground/projects/local_job_resume_pipeline/data/deliverables/resume_portfolio/by_company/retell-ai/2026-04-02/6977cf9cfdeb8243a27abd6b/resume.md","/Users/jingyizhang/Documents/Playground/projects/local_job_resume_pipeline/data/deliverables/resume_portfolio/by_company/retell-ai/2026-04-02/6977cf9cfdeb8243a27abd6b/resume.md")</f>
      </c>
      <c r="Q952"/>
      <c r="R952">
        <f>HYPERLINK("https://jobs.ashbyhq.com/retell-ai/9faa2a6f-ac67-4148-8d59-b692717732da?utm_source=LinkedInPaid","https://jobs.ashbyhq.com/retell-ai/9faa2a6f-ac67-4148-8d59-b692717732da?utm_source=LinkedInPaid")</f>
      </c>
    </row>
    <row r="953">
      <c r="A953" t="inlineStr">
        <is>
          <t>Intuit</t>
        </is>
      </c>
      <c r="B953" t="inlineStr">
        <is>
          <t>2026-04-02 06:05:52</t>
        </is>
      </c>
      <c r="C953" t="inlineStr">
        <is>
          <t>69ce4d90398fb071abf84215</t>
        </is>
      </c>
      <c r="D953" t="inlineStr">
        <is>
          <t>Software Engineer 2 - Credit Karma</t>
        </is>
      </c>
      <c r="E953" t="inlineStr">
        <is>
          <t>1_Discovered</t>
        </is>
      </c>
      <c r="F953" t="inlineStr">
        <is>
          <t>fanout_batch</t>
        </is>
      </c>
      <c r="G953" t="inlineStr">
        <is>
          <t>retarget</t>
        </is>
      </c>
      <c r="H953" t="inlineStr">
        <is>
          <t>seed_codex_google_fullstack</t>
        </is>
      </c>
      <c r="I953" t="inlineStr">
        <is>
          <t>Google Full Stack</t>
        </is>
      </c>
      <c r="J953" t="inlineStr">
        <is>
          <t>google_product_ai_mainline</t>
        </is>
      </c>
      <c r="K953" t="inlineStr">
        <is>
          <t>mainline</t>
        </is>
      </c>
      <c r="L953"/>
      <c r="M953"/>
      <c r="N953">
        <v>94.1</v>
      </c>
      <c r="O953" t="inlineStr">
        <is>
          <t>pass</t>
        </is>
      </c>
      <c r="P953">
        <f>HYPERLINK("file:///Users/jingyizhang/Documents/Playground/projects/local_job_resume_pipeline/data/deliverables/resume_portfolio/by_company/intuit/2026-04-02/69ce4d90398fb071abf84215/resume.md","/Users/jingyizhang/Documents/Playground/projects/local_job_resume_pipeline/data/deliverables/resume_portfolio/by_company/intuit/2026-04-02/69ce4d90398fb071abf84215/resume.md")</f>
      </c>
      <c r="Q953"/>
      <c r="R953">
        <f>HYPERLINK("https://jobs.intuit.com/job/-/-/27595/93463860784?cid=pjob_li_click_us_swe-other-fy26_cn_text_job_int-tm&amp;iis=pjob&amp;iisn=li&amp;p_sid=FYEniMb&amp;p_uid=PnYkeQ6O4g&amp;ss=paid&amp;utm_campaign=&amp;utm_content=pj_board&amp;utm_medium=jobad&amp;utm_source=linkedin+slots+%28intuit%29","https://jobs.intuit.com/job/-/-/27595/93463860784?cid=pjob_li_click_us_swe-other-fy26_cn_text_job_int-tm&amp;iis=pjob&amp;iisn=li&amp;p_sid=FYEniMb&amp;p_uid=PnYkeQ6O4g&amp;ss=paid&amp;utm_campaign=&amp;utm_content=pj_board&amp;utm_medium=jobad&amp;utm_source=linkedin+slots+%28intuit%29")</f>
      </c>
    </row>
    <row r="954">
      <c r="A954" t="inlineStr">
        <is>
          <t>Zoox</t>
        </is>
      </c>
      <c r="B954" t="inlineStr">
        <is>
          <t>2026-04-02 06:05:03</t>
        </is>
      </c>
      <c r="C954" t="inlineStr">
        <is>
          <t>69b1c758d04c69566c741147</t>
        </is>
      </c>
      <c r="D954" t="inlineStr">
        <is>
          <t>Software Engineer - Simulation Scenario Full Stack</t>
        </is>
      </c>
      <c r="E954" t="inlineStr">
        <is>
          <t>1_Discovered</t>
        </is>
      </c>
      <c r="F954" t="inlineStr">
        <is>
          <t>fanout_batch</t>
        </is>
      </c>
      <c r="G954" t="inlineStr">
        <is>
          <t>reuse</t>
        </is>
      </c>
      <c r="H954" t="inlineStr">
        <is>
          <t>seed_egen_fullstack_node</t>
        </is>
      </c>
      <c r="I954" t="inlineStr">
        <is>
          <t>Egen Fullstack Node</t>
        </is>
      </c>
      <c r="J954"/>
      <c r="K954"/>
      <c r="L954"/>
      <c r="M954"/>
      <c r="N954"/>
      <c r="O954"/>
      <c r="P954"/>
      <c r="Q954"/>
      <c r="R954">
        <f>HYPERLINK("https://jobs.lever.co/zoox/c36a2c54-6481-4deb-9159-04feec638e97/apply?source=jobright","https://jobs.lever.co/zoox/c36a2c54-6481-4deb-9159-04feec638e97/apply?source=jobright")</f>
      </c>
    </row>
    <row r="955">
      <c r="A955" t="inlineStr">
        <is>
          <t>GumGum</t>
        </is>
      </c>
      <c r="B955" t="inlineStr">
        <is>
          <t>2026-04-02 06:04:22</t>
        </is>
      </c>
      <c r="C955" t="inlineStr">
        <is>
          <t>6979c301d7df290257fc302c</t>
        </is>
      </c>
      <c r="D955" t="inlineStr">
        <is>
          <t>Data Scientist I</t>
        </is>
      </c>
      <c r="E955" t="inlineStr">
        <is>
          <t>1_Discovered</t>
        </is>
      </c>
      <c r="F955" t="inlineStr">
        <is>
          <t>fanout_batch</t>
        </is>
      </c>
      <c r="G955" t="inlineStr">
        <is>
          <t>retarget</t>
        </is>
      </c>
      <c r="H955" t="inlineStr">
        <is>
          <t>seed_plaid_data_scientist</t>
        </is>
      </c>
      <c r="I955" t="inlineStr">
        <is>
          <t>Plaid Data Scientist</t>
        </is>
      </c>
      <c r="J955"/>
      <c r="K955"/>
      <c r="L955"/>
      <c r="M955"/>
      <c r="N955">
        <v>95.2</v>
      </c>
      <c r="O955" t="inlineStr">
        <is>
          <t>pass</t>
        </is>
      </c>
      <c r="P955">
        <f>HYPERLINK("file:///Users/jingyizhang/Documents/Playground/projects/local_job_resume_pipeline/data/deliverables/resume_portfolio/by_company/gumgum/2026-04-02/6979c301d7df290257fc302c/resume.md","/Users/jingyizhang/Documents/Playground/projects/local_job_resume_pipeline/data/deliverables/resume_portfolio/by_company/gumgum/2026-04-02/6979c301d7df290257fc302c/resume.md")</f>
      </c>
      <c r="Q955"/>
      <c r="R955">
        <f>HYPERLINK("https://boards.greenhouse.io/embed/job_app?token=7607663003&amp;utm_source=jobright","https://boards.greenhouse.io/embed/job_app?token=7607663003&amp;utm_source=jobright")</f>
      </c>
    </row>
    <row r="956">
      <c r="A956" t="inlineStr">
        <is>
          <t>Intuit</t>
        </is>
      </c>
      <c r="B956" t="inlineStr">
        <is>
          <t>2026-04-02 05:59:24</t>
        </is>
      </c>
      <c r="C956" t="inlineStr">
        <is>
          <t>69ce4c0ccdb525785fb9687c</t>
        </is>
      </c>
      <c r="D956" t="inlineStr">
        <is>
          <t>Data Scientist 2 - Credit Karma</t>
        </is>
      </c>
      <c r="E956" t="inlineStr">
        <is>
          <t>1_Discovered</t>
        </is>
      </c>
      <c r="F956" t="inlineStr">
        <is>
          <t>fanout_batch</t>
        </is>
      </c>
      <c r="G956" t="inlineStr">
        <is>
          <t>reuse</t>
        </is>
      </c>
      <c r="H956" t="inlineStr">
        <is>
          <t>seed_plaid_data_scientist</t>
        </is>
      </c>
      <c r="I956" t="inlineStr">
        <is>
          <t>Plaid Data Scientist</t>
        </is>
      </c>
      <c r="J956"/>
      <c r="K956"/>
      <c r="L956"/>
      <c r="M956"/>
      <c r="N956"/>
      <c r="O956"/>
      <c r="P956"/>
      <c r="Q956"/>
      <c r="R956">
        <f>HYPERLINK("https://jobs.intuit.com/job/-/-/27595/93463872352?cid=pjob_li_click_us_data-other-fy26_cn_text_job_int-tm&amp;iis=pjob&amp;iisn=li&amp;p_sid=tteOYqb&amp;p_uid=YpVX7Eehgk&amp;ss=paid&amp;utm_campaign=&amp;utm_content=pj_board&amp;utm_medium=jobad&amp;utm_source=linkedin+slots+%28intuit%29","https://jobs.intuit.com/job/-/-/27595/93463872352?cid=pjob_li_click_us_data-other-fy26_cn_text_job_int-tm&amp;iis=pjob&amp;iisn=li&amp;p_sid=tteOYqb&amp;p_uid=YpVX7Eehgk&amp;ss=paid&amp;utm_campaign=&amp;utm_content=pj_board&amp;utm_medium=jobad&amp;utm_source=linkedin+slots+%28intuit%29")</f>
      </c>
    </row>
    <row r="957">
      <c r="A957" t="inlineStr">
        <is>
          <t>Adobe</t>
        </is>
      </c>
      <c r="B957" t="inlineStr">
        <is>
          <t>2026-04-02 05:50:21</t>
        </is>
      </c>
      <c r="C957" t="inlineStr">
        <is>
          <t>69b23bcca8ac8e70ff660fe9</t>
        </is>
      </c>
      <c r="D957" t="inlineStr">
        <is>
          <t>Data Scientist, Lightroom</t>
        </is>
      </c>
      <c r="E957" t="inlineStr">
        <is>
          <t>1_Discovered</t>
        </is>
      </c>
      <c r="F957" t="inlineStr">
        <is>
          <t>fanout_batch</t>
        </is>
      </c>
      <c r="G957" t="inlineStr">
        <is>
          <t>retarget</t>
        </is>
      </c>
      <c r="H957" t="inlineStr">
        <is>
          <t>seed_qualified_health_data_engineer</t>
        </is>
      </c>
      <c r="I957" t="inlineStr">
        <is>
          <t>Qualified Health Data Engineer</t>
        </is>
      </c>
      <c r="J957"/>
      <c r="K957"/>
      <c r="L957"/>
      <c r="M957"/>
      <c r="N957">
        <v>93.2</v>
      </c>
      <c r="O957" t="inlineStr">
        <is>
          <t>pass</t>
        </is>
      </c>
      <c r="P957">
        <f>HYPERLINK("file:///Users/jingyizhang/Documents/Playground/projects/local_job_resume_pipeline/data/deliverables/resume_portfolio/by_company/adobe/2026-04-02/69b23bcca8ac8e70ff660fe9/resume.md","/Users/jingyizhang/Documents/Playground/projects/local_job_resume_pipeline/data/deliverables/resume_portfolio/by_company/adobe/2026-04-02/69b23bcca8ac8e70ff660fe9/resume.md")</f>
      </c>
      <c r="Q957"/>
      <c r="R957">
        <f>HYPERLINK("https://careers.adobe.com/us/en/job/ADOBUSR166466EXTERNALENUS/Data-Scientist-Lightroom?utm_source=linkedin&amp;utm_medium=phenom-feeds&amp;source=LinkedIn","https://careers.adobe.com/us/en/job/ADOBUSR166466EXTERNALENUS/Data-Scientist-Lightroom?utm_source=linkedin&amp;utm_medium=phenom-feeds&amp;source=LinkedIn")</f>
      </c>
    </row>
    <row r="958">
      <c r="A958" t="inlineStr">
        <is>
          <t>Adobe</t>
        </is>
      </c>
      <c r="B958" t="inlineStr">
        <is>
          <t>2026-04-02 05:49:43</t>
        </is>
      </c>
      <c r="C958" t="inlineStr">
        <is>
          <t>696896b11703f05405aa695a</t>
        </is>
      </c>
      <c r="D958" t="inlineStr">
        <is>
          <t>Business Intelligence Analyst</t>
        </is>
      </c>
      <c r="E958" t="inlineStr">
        <is>
          <t>1_Discovered</t>
        </is>
      </c>
      <c r="F958" t="inlineStr">
        <is>
          <t>fanout_batch</t>
        </is>
      </c>
      <c r="G958" t="inlineStr">
        <is>
          <t>retarget</t>
        </is>
      </c>
      <c r="H958" t="inlineStr">
        <is>
          <t>seed_h2o_ai_engineer</t>
        </is>
      </c>
      <c r="I958" t="inlineStr">
        <is>
          <t>H2O AI Engineer</t>
        </is>
      </c>
      <c r="J958"/>
      <c r="K958"/>
      <c r="L958"/>
      <c r="M958"/>
      <c r="N958">
        <v>91.6</v>
      </c>
      <c r="O958" t="inlineStr">
        <is>
          <t>conditional_pass</t>
        </is>
      </c>
      <c r="P958">
        <f>HYPERLINK("file:///Users/jingyizhang/Documents/Playground/projects/local_job_resume_pipeline/data/deliverables/resume_portfolio/by_company/adobe/2026-04-02/696896b11703f05405aa695a/resume.md","/Users/jingyizhang/Documents/Playground/projects/local_job_resume_pipeline/data/deliverables/resume_portfolio/by_company/adobe/2026-04-02/696896b11703f05405aa695a/resume.md")</f>
      </c>
      <c r="Q958"/>
      <c r="R958">
        <f>HYPERLINK("https://careers.adobe.com/us/en/job/ADOBUSR164116EXTERNALENUS/Business-Intelligence-Analyst?utm_source=linkedin&amp;utm_medium=phenom-feeds&amp;source=LinkedIn","https://careers.adobe.com/us/en/job/ADOBUSR164116EXTERNALENUS/Business-Intelligence-Analyst?utm_source=linkedin&amp;utm_medium=phenom-feeds&amp;source=LinkedIn")</f>
      </c>
    </row>
    <row r="959">
      <c r="A959" t="inlineStr">
        <is>
          <t>JPMorganChase</t>
        </is>
      </c>
      <c r="B959" t="inlineStr">
        <is>
          <t>2026-04-02 05:38:05</t>
        </is>
      </c>
      <c r="C959" t="inlineStr">
        <is>
          <t>697028e4587dfa0bb55daadd</t>
        </is>
      </c>
      <c r="D959" t="inlineStr">
        <is>
          <t>Applied AI/ML - Vice President</t>
        </is>
      </c>
      <c r="E959" t="inlineStr">
        <is>
          <t>1_Discovered</t>
        </is>
      </c>
      <c r="F959" t="inlineStr">
        <is>
          <t>fanout_batch</t>
        </is>
      </c>
      <c r="G959" t="inlineStr">
        <is>
          <t>retarget</t>
        </is>
      </c>
      <c r="H959" t="inlineStr">
        <is>
          <t>seed_amazon_agi_ml_anchor</t>
        </is>
      </c>
      <c r="I959" t="inlineStr">
        <is>
          <t>Amazon AGI/LLM Anchor</t>
        </is>
      </c>
      <c r="J959" t="inlineStr">
        <is>
          <t>amazon_ai_ads_mainline</t>
        </is>
      </c>
      <c r="K959" t="inlineStr">
        <is>
          <t>mainline</t>
        </is>
      </c>
      <c r="L959"/>
      <c r="M959"/>
      <c r="N959">
        <v>77.1</v>
      </c>
      <c r="O959" t="inlineStr">
        <is>
          <t>fail</t>
        </is>
      </c>
      <c r="P959">
        <f>HYPERLINK("file:///Users/jingyizhang/Documents/Playground/projects/local_job_resume_pipeline/data/deliverables/resume_portfolio/by_company/jpmorganchase/2026-04-02/697028e4587dfa0bb55daadd/resume.md","/Users/jingyizhang/Documents/Playground/projects/local_job_resume_pipeline/data/deliverables/resume_portfolio/by_company/jpmorganchase/2026-04-02/697028e4587dfa0bb55daadd/resume.md")</f>
      </c>
      <c r="Q959"/>
      <c r="R959">
        <f>HYPERLINK("https://JPMorganChase.contacthr.com/151427836","https://JPMorganChase.contacthr.com/151427836")</f>
      </c>
    </row>
    <row r="960">
      <c r="A960" t="inlineStr">
        <is>
          <t>PayPal</t>
        </is>
      </c>
      <c r="B960" t="inlineStr">
        <is>
          <t>2026-04-02 05:29:24</t>
        </is>
      </c>
      <c r="C960" t="inlineStr">
        <is>
          <t>69b2297a65de58104c719ffc</t>
        </is>
      </c>
      <c r="D960" t="inlineStr">
        <is>
          <t>Sr Software Engineer</t>
        </is>
      </c>
      <c r="E960" t="inlineStr">
        <is>
          <t>1_Discovered</t>
        </is>
      </c>
      <c r="F960" t="inlineStr">
        <is>
          <t>fanout_batch</t>
        </is>
      </c>
      <c r="G960" t="inlineStr">
        <is>
          <t>retarget</t>
        </is>
      </c>
      <c r="H960" t="inlineStr">
        <is>
          <t>seed_paypal_java_backend</t>
        </is>
      </c>
      <c r="I960" t="inlineStr">
        <is>
          <t>PayPal Java Backend</t>
        </is>
      </c>
      <c r="J960"/>
      <c r="K960"/>
      <c r="L960"/>
      <c r="M960"/>
      <c r="N960">
        <v>94.4</v>
      </c>
      <c r="O960" t="inlineStr">
        <is>
          <t>pass</t>
        </is>
      </c>
      <c r="P960">
        <f>HYPERLINK("file:///Users/jingyizhang/Documents/Playground/projects/local_job_resume_pipeline/data/deliverables/resume_portfolio/by_company/paypal/2026-04-02/69b2297a65de58104c719ffc/resume.md","/Users/jingyizhang/Documents/Playground/projects/local_job_resume_pipeline/data/deliverables/resume_portfolio/by_company/paypal/2026-04-02/69b2297a65de58104c719ffc/resume.md")</f>
      </c>
      <c r="Q960"/>
      <c r="R960">
        <f>HYPERLINK("https://paypal.eightfold.ai/careers?domain=paypal.com&amp;sort_by=relevance&amp;query=R0134150&amp;Codes=W-LINKEDIN","https://paypal.eightfold.ai/careers?domain=paypal.com&amp;sort_by=relevance&amp;query=R0134150&amp;Codes=W-LINKEDIN")</f>
      </c>
    </row>
    <row r="961">
      <c r="A961" t="inlineStr">
        <is>
          <t>Certara</t>
        </is>
      </c>
      <c r="B961" t="inlineStr">
        <is>
          <t>2026-04-02 05:29:15</t>
        </is>
      </c>
      <c r="C961" t="inlineStr">
        <is>
          <t>6995e965ce78e77b4fd9e92a</t>
        </is>
      </c>
      <c r="D961" t="inlineStr">
        <is>
          <t>Sr. Software Engineer</t>
        </is>
      </c>
      <c r="E961" t="inlineStr">
        <is>
          <t>1_Discovered</t>
        </is>
      </c>
      <c r="F961" t="inlineStr">
        <is>
          <t>fanout_batch</t>
        </is>
      </c>
      <c r="G961" t="inlineStr">
        <is>
          <t>retarget</t>
        </is>
      </c>
      <c r="H961" t="inlineStr">
        <is>
          <t>seed_generalist_dotnet_enterprise</t>
        </is>
      </c>
      <c r="I961" t="inlineStr">
        <is>
          <t>Generalist DotNet Enterprise</t>
        </is>
      </c>
      <c r="J961"/>
      <c r="K961"/>
      <c r="L961"/>
      <c r="M961"/>
      <c r="N961">
        <v>82.5</v>
      </c>
      <c r="O961" t="inlineStr">
        <is>
          <t>fail</t>
        </is>
      </c>
      <c r="P961">
        <f>HYPERLINK("file:///Users/jingyizhang/Documents/Playground/projects/local_job_resume_pipeline/data/deliverables/resume_portfolio/by_company/certara/2026-04-02/6995e965ce78e77b4fd9e92a/resume.md","/Users/jingyizhang/Documents/Playground/projects/local_job_resume_pipeline/data/deliverables/resume_portfolio/by_company/certara/2026-04-02/6995e965ce78e77b4fd9e92a/resume.md")</f>
      </c>
      <c r="Q961"/>
      <c r="R961">
        <f>HYPERLINK("https://careers.certara.com/jobs/2392?mode=apply&amp;iis=LinkedIn","https://careers.certara.com/jobs/2392?mode=apply&amp;iis=LinkedIn")</f>
      </c>
    </row>
    <row r="962">
      <c r="A962" t="inlineStr">
        <is>
          <t>JPMorganChase</t>
        </is>
      </c>
      <c r="B962" t="inlineStr">
        <is>
          <t>2026-04-02 05:28:57</t>
        </is>
      </c>
      <c r="C962" t="inlineStr">
        <is>
          <t>69c8cbc51b5ad02887395602</t>
        </is>
      </c>
      <c r="D962" t="inlineStr">
        <is>
          <t>Applied AI ML Engineer-Sr. Associate</t>
        </is>
      </c>
      <c r="E962" t="inlineStr">
        <is>
          <t>1_Discovered</t>
        </is>
      </c>
      <c r="F962" t="inlineStr">
        <is>
          <t>fanout_batch</t>
        </is>
      </c>
      <c r="G962" t="inlineStr">
        <is>
          <t>retarget</t>
        </is>
      </c>
      <c r="H962" t="inlineStr">
        <is>
          <t>seed_linkedin_mle_foundation</t>
        </is>
      </c>
      <c r="I962" t="inlineStr">
        <is>
          <t>LinkedIn MLE Foundation</t>
        </is>
      </c>
      <c r="J962"/>
      <c r="K962"/>
      <c r="L962"/>
      <c r="M962"/>
      <c r="N962">
        <v>96.1</v>
      </c>
      <c r="O962" t="inlineStr">
        <is>
          <t>pass</t>
        </is>
      </c>
      <c r="P962">
        <f>HYPERLINK("file:///Users/jingyizhang/Documents/Playground/projects/local_job_resume_pipeline/data/deliverables/resume_portfolio/by_company/jpmorganchase/2026-04-02/69c8cbc51b5ad02887395602/resume.md","/Users/jingyizhang/Documents/Playground/projects/local_job_resume_pipeline/data/deliverables/resume_portfolio/by_company/jpmorganchase/2026-04-02/69c8cbc51b5ad02887395602/resume.md")</f>
      </c>
      <c r="Q962"/>
      <c r="R962">
        <f>HYPERLINK("https://JPMorganChase.contacthr.com/150804458","https://JPMorganChase.contacthr.com/150804458")</f>
      </c>
    </row>
    <row r="963">
      <c r="A963" t="inlineStr">
        <is>
          <t>ModMed</t>
        </is>
      </c>
      <c r="B963" t="inlineStr">
        <is>
          <t>2026-04-02 05:28:45</t>
        </is>
      </c>
      <c r="C963" t="inlineStr">
        <is>
          <t>696e85c4db26b61895116380</t>
        </is>
      </c>
      <c r="D963" t="inlineStr">
        <is>
          <t>2026 Summer Software Engineering Internships</t>
        </is>
      </c>
      <c r="E963" t="inlineStr">
        <is>
          <t>1_Discovered</t>
        </is>
      </c>
      <c r="F963" t="inlineStr">
        <is>
          <t>seed_validation</t>
        </is>
      </c>
      <c r="G963" t="inlineStr">
        <is>
          <t>reuse</t>
        </is>
      </c>
      <c r="H963" t="inlineStr">
        <is>
          <t>seed_fullstack_java_react_enterprise</t>
        </is>
      </c>
      <c r="I963" t="inlineStr">
        <is>
          <t>Fullstack Java React Enterprise</t>
        </is>
      </c>
      <c r="J963"/>
      <c r="K963"/>
      <c r="L963"/>
      <c r="M963"/>
      <c r="N963"/>
      <c r="O963"/>
      <c r="P963"/>
      <c r="Q963"/>
      <c r="R963">
        <f>HYPERLINK("https://modmed.wd501.myworkdayjobs.com/ModMed12/job/Boca-Raton-FL/XMLNAME-2026-Summer-Software-Engineering-Internships_R3905","https://modmed.wd501.myworkdayjobs.com/ModMed12/job/Boca-Raton-FL/XMLNAME-2026-Summer-Software-Engineering-Internships_R3905")</f>
      </c>
    </row>
    <row r="964">
      <c r="A964" t="inlineStr">
        <is>
          <t>CrowdStrike</t>
        </is>
      </c>
      <c r="B964" t="inlineStr">
        <is>
          <t>2026-04-02 05:28:42</t>
        </is>
      </c>
      <c r="C964" t="inlineStr">
        <is>
          <t>69bbcf0378a5df4797fd7081</t>
        </is>
      </c>
      <c r="D964" t="inlineStr">
        <is>
          <t>Backend Engineer III - Managed Services (Hybrid)</t>
        </is>
      </c>
      <c r="E964" t="inlineStr">
        <is>
          <t>1_Discovered</t>
        </is>
      </c>
      <c r="F964" t="inlineStr">
        <is>
          <t>fanout_batch</t>
        </is>
      </c>
      <c r="G964" t="inlineStr">
        <is>
          <t>retarget</t>
        </is>
      </c>
      <c r="H964" t="inlineStr">
        <is>
          <t>seed_cisco_backend_api</t>
        </is>
      </c>
      <c r="I964" t="inlineStr">
        <is>
          <t>Cisco Backend API</t>
        </is>
      </c>
      <c r="J964"/>
      <c r="K964"/>
      <c r="L964"/>
      <c r="M964"/>
      <c r="N964">
        <v>96.8</v>
      </c>
      <c r="O964" t="inlineStr">
        <is>
          <t>pass</t>
        </is>
      </c>
      <c r="P964">
        <f>HYPERLINK("file:///Users/jingyizhang/Documents/Playground/projects/local_job_resume_pipeline/data/deliverables/resume_portfolio/by_company/crowdstrike/2026-04-02/69bbcf0378a5df4797fd7081/resume.md","/Users/jingyizhang/Documents/Playground/projects/local_job_resume_pipeline/data/deliverables/resume_portfolio/by_company/crowdstrike/2026-04-02/69bbcf0378a5df4797fd7081/resume.md")</f>
      </c>
      <c r="Q964"/>
      <c r="R964">
        <f>HYPERLINK("https://crowdstrike.wd5.myworkdayjobs.com/crowdstrikecareers/job/USA---Austin-TX/Backend-Engineer-III---Managed-Services--Hybrid-_R27313?source=LinkedIn_jobs","https://crowdstrike.wd5.myworkdayjobs.com/crowdstrikecareers/job/USA---Austin-TX/Backend-Engineer-III---Managed-Services--Hybrid-_R27313?source=LinkedIn_jobs")</f>
      </c>
    </row>
    <row r="965">
      <c r="A965" t="inlineStr">
        <is>
          <t>ModMed</t>
        </is>
      </c>
      <c r="B965" t="inlineStr">
        <is>
          <t>2026-04-02 05:28:12</t>
        </is>
      </c>
      <c r="C965" t="inlineStr">
        <is>
          <t>695da7a3f1f8465b79f3efd5</t>
        </is>
      </c>
      <c r="D965" t="inlineStr">
        <is>
          <t>FullStack Software Engineer</t>
        </is>
      </c>
      <c r="E965" t="inlineStr">
        <is>
          <t>1_Discovered</t>
        </is>
      </c>
      <c r="F965" t="inlineStr">
        <is>
          <t>fanout_batch</t>
        </is>
      </c>
      <c r="G965" t="inlineStr">
        <is>
          <t>retarget</t>
        </is>
      </c>
      <c r="H965" t="inlineStr">
        <is>
          <t>seed_egen_fullstack_node</t>
        </is>
      </c>
      <c r="I965" t="inlineStr">
        <is>
          <t>Egen Fullstack Node</t>
        </is>
      </c>
      <c r="J965"/>
      <c r="K965"/>
      <c r="L965"/>
      <c r="M965"/>
      <c r="N965">
        <v>94.0</v>
      </c>
      <c r="O965" t="inlineStr">
        <is>
          <t>pass</t>
        </is>
      </c>
      <c r="P965">
        <f>HYPERLINK("file:///Users/jingyizhang/Documents/Playground/projects/local_job_resume_pipeline/data/deliverables/resume_portfolio/by_company/modmed/2026-04-02/695da7a3f1f8465b79f3efd5/resume.md","/Users/jingyizhang/Documents/Playground/projects/local_job_resume_pipeline/data/deliverables/resume_portfolio/by_company/modmed/2026-04-02/695da7a3f1f8465b79f3efd5/resume.md")</f>
      </c>
      <c r="Q965"/>
      <c r="R965">
        <f>HYPERLINK("https://modmed.wd501.myworkdayjobs.com/ModMed12/job/Boca-Raton-FL/FullStack-Software-Engineer-2_R3710","https://modmed.wd501.myworkdayjobs.com/ModMed12/job/Boca-Raton-FL/FullStack-Software-Engineer-2_R3710")</f>
      </c>
    </row>
    <row r="966">
      <c r="A966" t="inlineStr">
        <is>
          <t>TD Securities</t>
        </is>
      </c>
      <c r="B966" t="inlineStr">
        <is>
          <t>2026-04-02 05:09:12</t>
        </is>
      </c>
      <c r="C966" t="inlineStr">
        <is>
          <t>69ce4048891d7b11cfcc67c3</t>
        </is>
      </c>
      <c r="D966" t="inlineStr">
        <is>
          <t>Associate, Quantitative Developer – Prime Services</t>
        </is>
      </c>
      <c r="E966" t="inlineStr">
        <is>
          <t>1_Discovered</t>
        </is>
      </c>
      <c r="F966" t="inlineStr">
        <is>
          <t>fanout_batch</t>
        </is>
      </c>
      <c r="G966" t="inlineStr">
        <is>
          <t>retarget</t>
        </is>
      </c>
      <c r="H966" t="inlineStr">
        <is>
          <t>seed_generalist_dotnet_enterprise</t>
        </is>
      </c>
      <c r="I966" t="inlineStr">
        <is>
          <t>Generalist DotNet Enterprise</t>
        </is>
      </c>
      <c r="J966"/>
      <c r="K966"/>
      <c r="L966"/>
      <c r="M966"/>
      <c r="N966">
        <v>86.5</v>
      </c>
      <c r="O966" t="inlineStr">
        <is>
          <t>fail</t>
        </is>
      </c>
      <c r="P966">
        <f>HYPERLINK("file:///Users/jingyizhang/Documents/Playground/projects/local_job_resume_pipeline/data/deliverables/resume_portfolio/by_company/td-securities/2026-04-02/69ce4048891d7b11cfcc67c3/resume.md","/Users/jingyizhang/Documents/Playground/projects/local_job_resume_pipeline/data/deliverables/resume_portfolio/by_company/td-securities/2026-04-02/69ce4048891d7b11cfcc67c3/resume.md")</f>
      </c>
      <c r="Q966"/>
      <c r="R966">
        <f>HYPERLINK("https://td.wd3.myworkdayjobs.com/en-US/TD_Bank_Careers/job/New-York-New-York/Associate--Quantitative-Developer---Prime-Services_R_1482083?source=LinkedIn","https://td.wd3.myworkdayjobs.com/en-US/TD_Bank_Careers/job/New-York-New-York/Associate--Quantitative-Developer---Prime-Services_R_1482083?source=LinkedIn")</f>
      </c>
    </row>
    <row r="967">
      <c r="A967" t="inlineStr">
        <is>
          <t>Waystar</t>
        </is>
      </c>
      <c r="B967" t="inlineStr">
        <is>
          <t>2026-04-02 04:58:18</t>
        </is>
      </c>
      <c r="C967" t="inlineStr">
        <is>
          <t>6983fae701214b4cdacc4737</t>
        </is>
      </c>
      <c r="D967" t="inlineStr">
        <is>
          <t>Software Engineer II</t>
        </is>
      </c>
      <c r="E967" t="inlineStr">
        <is>
          <t>1_Discovered</t>
        </is>
      </c>
      <c r="F967" t="inlineStr">
        <is>
          <t>fanout_batch</t>
        </is>
      </c>
      <c r="G967" t="inlineStr">
        <is>
          <t>retarget</t>
        </is>
      </c>
      <c r="H967" t="inlineStr">
        <is>
          <t>seed_generalist_dotnet_enterprise</t>
        </is>
      </c>
      <c r="I967" t="inlineStr">
        <is>
          <t>Generalist DotNet Enterprise</t>
        </is>
      </c>
      <c r="J967"/>
      <c r="K967"/>
      <c r="L967"/>
      <c r="M967"/>
      <c r="N967">
        <v>94.6</v>
      </c>
      <c r="O967" t="inlineStr">
        <is>
          <t>pass</t>
        </is>
      </c>
      <c r="P967">
        <f>HYPERLINK("file:///Users/jingyizhang/Documents/Playground/projects/local_job_resume_pipeline/data/deliverables/resume_portfolio/by_company/waystar/2026-04-02/6983fae701214b4cdacc4737/resume.md","/Users/jingyizhang/Documents/Playground/projects/local_job_resume_pipeline/data/deliverables/resume_portfolio/by_company/waystar/2026-04-02/6983fae701214b4cdacc4737/resume.md")</f>
      </c>
      <c r="Q967"/>
      <c r="R967">
        <f>HYPERLINK("https://careers.waystar.com/78FB8E88554144E09311E3096AF876A5/job/?vs=1606&amp;utm_source=LinkedIn.com-DE&amp;utm_medium=Social%20Media&amp;utm_campaign=LinkedIn.com","https://careers.waystar.com/78FB8E88554144E09311E3096AF876A5/job/?vs=1606&amp;utm_source=LinkedIn.com-DE&amp;utm_medium=Social%20Media&amp;utm_campaign=LinkedIn.com")</f>
      </c>
    </row>
    <row r="968">
      <c r="A968" t="inlineStr">
        <is>
          <t>PayPal</t>
        </is>
      </c>
      <c r="B968" t="inlineStr">
        <is>
          <t>2026-04-02 04:52:20</t>
        </is>
      </c>
      <c r="C968" t="inlineStr">
        <is>
          <t>6994e497ce78e77b4fd8f5ab</t>
        </is>
      </c>
      <c r="D968" t="inlineStr">
        <is>
          <t>Machine Learning Engineer</t>
        </is>
      </c>
      <c r="E968" t="inlineStr">
        <is>
          <t>1_Discovered</t>
        </is>
      </c>
      <c r="F968" t="inlineStr">
        <is>
          <t>fanout_batch</t>
        </is>
      </c>
      <c r="G968" t="inlineStr">
        <is>
          <t>retarget</t>
        </is>
      </c>
      <c r="H968" t="inlineStr">
        <is>
          <t>seed_bytedance_ml_grad</t>
        </is>
      </c>
      <c r="I968" t="inlineStr">
        <is>
          <t>ByteDance ML Grad</t>
        </is>
      </c>
      <c r="J968"/>
      <c r="K968"/>
      <c r="L968"/>
      <c r="M968"/>
      <c r="N968">
        <v>95.0</v>
      </c>
      <c r="O968" t="inlineStr">
        <is>
          <t>pass</t>
        </is>
      </c>
      <c r="P968">
        <f>HYPERLINK("file:///Users/jingyizhang/Documents/Playground/projects/local_job_resume_pipeline/data/deliverables/resume_portfolio/by_company/paypal/2026-04-02/6994e497ce78e77b4fd8f5ab/resume.md","/Users/jingyizhang/Documents/Playground/projects/local_job_resume_pipeline/data/deliverables/resume_portfolio/by_company/paypal/2026-04-02/6994e497ce78e77b4fd8f5ab/resume.md")</f>
      </c>
      <c r="Q968"/>
      <c r="R968">
        <f>HYPERLINK("https://paypal.eightfold.ai/careers?domain=paypal.com&amp;sort_by=relevance&amp;query=R0134783&amp;Codes=W-LINKEDIN","https://paypal.eightfold.ai/careers?domain=paypal.com&amp;sort_by=relevance&amp;query=R0134783&amp;Codes=W-LINKEDIN")</f>
      </c>
    </row>
    <row r="969">
      <c r="A969" t="inlineStr">
        <is>
          <t>Jewelers Mutual Group</t>
        </is>
      </c>
      <c r="B969" t="inlineStr">
        <is>
          <t>2026-04-02 04:46:46</t>
        </is>
      </c>
      <c r="C969" t="inlineStr">
        <is>
          <t>69b1df7fd04c69566c745093</t>
        </is>
      </c>
      <c r="D969" t="inlineStr">
        <is>
          <t>Software Engineer - Core Services</t>
        </is>
      </c>
      <c r="E969" t="inlineStr">
        <is>
          <t>1_Discovered</t>
        </is>
      </c>
      <c r="F969" t="inlineStr">
        <is>
          <t>fanout_batch</t>
        </is>
      </c>
      <c r="G969" t="inlineStr">
        <is>
          <t>retarget</t>
        </is>
      </c>
      <c r="H969" t="inlineStr">
        <is>
          <t>seed_codex_amazon_sde</t>
        </is>
      </c>
      <c r="I969" t="inlineStr">
        <is>
          <t>Amazon SDE</t>
        </is>
      </c>
      <c r="J969" t="inlineStr">
        <is>
          <t>amazon_platform_mainline</t>
        </is>
      </c>
      <c r="K969" t="inlineStr">
        <is>
          <t>mainline</t>
        </is>
      </c>
      <c r="L969"/>
      <c r="M969"/>
      <c r="N969">
        <v>94.5</v>
      </c>
      <c r="O969" t="inlineStr">
        <is>
          <t>pass</t>
        </is>
      </c>
      <c r="P969">
        <f>HYPERLINK("file:///Users/jingyizhang/Documents/Playground/projects/local_job_resume_pipeline/data/deliverables/resume_portfolio/by_company/jewelers-mutual-group/2026-04-02/69b1df7fd04c69566c745093/resume.md","/Users/jingyizhang/Documents/Playground/projects/local_job_resume_pipeline/data/deliverables/resume_portfolio/by_company/jewelers-mutual-group/2026-04-02/69b1df7fd04c69566c745093/resume.md")</f>
      </c>
      <c r="Q969"/>
      <c r="R969">
        <f>HYPERLINK("https://recruiting.ultipro.com/JEW1003JEWEL/JobBoard/1ddbeeda-8206-7c8c-a849-dd0e865383de/OpportunityDetail?opportunityId=7ff6e243-226f-4253-b4ff-0d37ad28528a&amp;source=jobright","https://recruiting.ultipro.com/JEW1003JEWEL/JobBoard/1ddbeeda-8206-7c8c-a849-dd0e865383de/OpportunityDetail?opportunityId=7ff6e243-226f-4253-b4ff-0d37ad28528a&amp;source=jobright")</f>
      </c>
    </row>
    <row r="970">
      <c r="A970" t="inlineStr">
        <is>
          <t>Publicis Sapient</t>
        </is>
      </c>
      <c r="B970" t="inlineStr">
        <is>
          <t>2026-04-02 04:30:52</t>
        </is>
      </c>
      <c r="C970" t="inlineStr">
        <is>
          <t>69c35849753c101b2156fe0b</t>
        </is>
      </c>
      <c r="D970" t="inlineStr">
        <is>
          <t>Senior Associate Data Engineer, AWS Cloud - Los Angeles - hybrid in office 3 days per week</t>
        </is>
      </c>
      <c r="E970" t="inlineStr">
        <is>
          <t>1_Discovered</t>
        </is>
      </c>
      <c r="F970" t="inlineStr">
        <is>
          <t>fanout_batch</t>
        </is>
      </c>
      <c r="G970" t="inlineStr">
        <is>
          <t>retarget</t>
        </is>
      </c>
      <c r="H970" t="inlineStr">
        <is>
          <t>seed_qualified_health_data_engineer</t>
        </is>
      </c>
      <c r="I970" t="inlineStr">
        <is>
          <t>Qualified Health Data Engineer</t>
        </is>
      </c>
      <c r="J970"/>
      <c r="K970"/>
      <c r="L970"/>
      <c r="M970"/>
      <c r="N970">
        <v>94.5</v>
      </c>
      <c r="O970" t="inlineStr">
        <is>
          <t>pass</t>
        </is>
      </c>
      <c r="P970">
        <f>HYPERLINK("file:///Users/jingyizhang/Documents/Playground/projects/local_job_resume_pipeline/data/deliverables/resume_portfolio/by_company/publicis-sapient/2026-04-02/69c35849753c101b2156fe0b/resume.md","/Users/jingyizhang/Documents/Playground/projects/local_job_resume_pipeline/data/deliverables/resume_portfolio/by_company/publicis-sapient/2026-04-02/69c35849753c101b2156fe0b/resume.md")</f>
      </c>
      <c r="Q970"/>
      <c r="R970">
        <f>HYPERLINK("https://careers.publicissapient.com/job-details/2026-142575-senior-associate-data-engineer--aws-cloud---los-angeles---hybrid-in-office-3-days-per-week-los-angeles?mode=apply&amp;iis=LinkedIn+Apply","https://careers.publicissapient.com/job-details/2026-142575-senior-associate-data-engineer--aws-cloud---los-angeles---hybrid-in-office-3-days-per-week-los-angeles?mode=apply&amp;iis=LinkedIn+Apply")</f>
      </c>
    </row>
    <row r="971">
      <c r="A971" t="inlineStr">
        <is>
          <t>Red Hat</t>
        </is>
      </c>
      <c r="B971" t="inlineStr">
        <is>
          <t>2026-04-02 04:19:28</t>
        </is>
      </c>
      <c r="C971" t="inlineStr">
        <is>
          <t>69b276aead360c0340a75433</t>
        </is>
      </c>
      <c r="D971" t="inlineStr">
        <is>
          <t>Senior Software Engineer - Red Hat Observability Service</t>
        </is>
      </c>
      <c r="E971" t="inlineStr">
        <is>
          <t>1_Discovered</t>
        </is>
      </c>
      <c r="F971" t="inlineStr">
        <is>
          <t>retarget_trial</t>
        </is>
      </c>
      <c r="G971" t="inlineStr">
        <is>
          <t>reuse</t>
        </is>
      </c>
      <c r="H971" t="inlineStr">
        <is>
          <t>candidate_paypal_java_backend</t>
        </is>
      </c>
      <c r="I971" t="inlineStr">
        <is>
          <t>PayPal Java Backend</t>
        </is>
      </c>
      <c r="J971"/>
      <c r="K971"/>
      <c r="L971"/>
      <c r="M971"/>
      <c r="N971"/>
      <c r="O971"/>
      <c r="P971"/>
      <c r="Q971"/>
      <c r="R971">
        <f>HYPERLINK("https://redhat.wd5.myworkdayjobs.com/jobs/job/Boston/Senior-Software-Engineer---Red-Hat-Observability-Service_R-053093-1?%26%3Fmode=job&amp;%26iis=Job%2BBoard&amp;%26iisn=LinkedIn%2BPosting&amp;source=LinkedIn","https://redhat.wd5.myworkdayjobs.com/jobs/job/Boston/Senior-Software-Engineer---Red-Hat-Observability-Service_R-053093-1?%26%3Fmode=job&amp;%26iis=Job%2BBoard&amp;%26iisn=LinkedIn%2BPosting&amp;source=LinkedIn")</f>
      </c>
    </row>
    <row r="972">
      <c r="A972" t="inlineStr">
        <is>
          <t>Relativity</t>
        </is>
      </c>
      <c r="B972" t="inlineStr">
        <is>
          <t>2026-04-02 04:19:26</t>
        </is>
      </c>
      <c r="C972" t="inlineStr">
        <is>
          <t>697466be206da320f49ea336</t>
        </is>
      </c>
      <c r="D972" t="inlineStr">
        <is>
          <t>Advanced Software Engineer</t>
        </is>
      </c>
      <c r="E972" t="inlineStr">
        <is>
          <t>1_Discovered</t>
        </is>
      </c>
      <c r="F972" t="inlineStr">
        <is>
          <t>fanout_batch</t>
        </is>
      </c>
      <c r="G972" t="inlineStr">
        <is>
          <t>reuse</t>
        </is>
      </c>
      <c r="H972" t="inlineStr">
        <is>
          <t>seed_fullstack_dotnet_azure</t>
        </is>
      </c>
      <c r="I972" t="inlineStr">
        <is>
          <t>Fullstack DotNet Azure</t>
        </is>
      </c>
      <c r="J972"/>
      <c r="K972"/>
      <c r="L972"/>
      <c r="M972"/>
      <c r="N972"/>
      <c r="O972"/>
      <c r="P972"/>
      <c r="Q972"/>
      <c r="R972">
        <f>HYPERLINK("https://kcura.wd1.myworkdayjobs.com/External_Career_Site/job/Illinois/Advanced-Software-Engineer_25-0679?source=LinkedIn","https://kcura.wd1.myworkdayjobs.com/External_Career_Site/job/Illinois/Advanced-Software-Engineer_25-0679?source=LinkedIn")</f>
      </c>
    </row>
    <row r="973">
      <c r="A973" t="inlineStr">
        <is>
          <t>JPMorganChase</t>
        </is>
      </c>
      <c r="B973" t="inlineStr">
        <is>
          <t>2026-04-02 03:18:02</t>
        </is>
      </c>
      <c r="C973" t="inlineStr">
        <is>
          <t>69ce263a891d7b11cfcc5ad7</t>
        </is>
      </c>
      <c r="D973" t="inlineStr">
        <is>
          <t>2026 Asset Wealth Management Machine Learning Engineer-Summer Associate</t>
        </is>
      </c>
      <c r="E973" t="inlineStr">
        <is>
          <t>1_Discovered</t>
        </is>
      </c>
      <c r="F973" t="inlineStr">
        <is>
          <t>fanout_batch</t>
        </is>
      </c>
      <c r="G973" t="inlineStr">
        <is>
          <t>reuse</t>
        </is>
      </c>
      <c r="H973" t="inlineStr">
        <is>
          <t>seed_bytedance_ml_grad</t>
        </is>
      </c>
      <c r="I973" t="inlineStr">
        <is>
          <t>ByteDance ML Grad</t>
        </is>
      </c>
      <c r="J973"/>
      <c r="K973"/>
      <c r="L973"/>
      <c r="M973"/>
      <c r="N973"/>
      <c r="O973"/>
      <c r="P973"/>
      <c r="Q973"/>
      <c r="R973">
        <f>HYPERLINK("https://JPMorganChase.contacthr.com/151674070","https://JPMorganChase.contacthr.com/151674070")</f>
      </c>
    </row>
    <row r="974">
      <c r="A974" t="inlineStr">
        <is>
          <t>Avenue Code</t>
        </is>
      </c>
      <c r="B974" t="inlineStr">
        <is>
          <t>2026-04-02 03:09:26</t>
        </is>
      </c>
      <c r="C974" t="inlineStr">
        <is>
          <t>69c2e95194007a2195def7ef</t>
        </is>
      </c>
      <c r="D974" t="inlineStr">
        <is>
          <t>Frontend Engineer</t>
        </is>
      </c>
      <c r="E974" t="inlineStr">
        <is>
          <t>1_Discovered</t>
        </is>
      </c>
      <c r="F974" t="inlineStr">
        <is>
          <t>fanout_batch</t>
        </is>
      </c>
      <c r="G974" t="inlineStr">
        <is>
          <t>reuse</t>
        </is>
      </c>
      <c r="H974" t="inlineStr">
        <is>
          <t>seed_egen_fullstack_node</t>
        </is>
      </c>
      <c r="I974" t="inlineStr">
        <is>
          <t>Egen Fullstack Node</t>
        </is>
      </c>
      <c r="J974"/>
      <c r="K974"/>
      <c r="L974"/>
      <c r="M974"/>
      <c r="N974"/>
      <c r="O974"/>
      <c r="P974"/>
      <c r="Q974"/>
      <c r="R974">
        <f>HYPERLINK("https://www.linkedin.com/jobs/view/4389821339","https://www.linkedin.com/jobs/view/4389821339")</f>
      </c>
    </row>
    <row r="975">
      <c r="A975" t="inlineStr">
        <is>
          <t>Hone Health</t>
        </is>
      </c>
      <c r="B975" t="inlineStr">
        <is>
          <t>2026-04-02 03:08:31</t>
        </is>
      </c>
      <c r="C975" t="inlineStr">
        <is>
          <t>69ce23ffcdb525785fb943a2</t>
        </is>
      </c>
      <c r="D975" t="inlineStr">
        <is>
          <t>Senior Software Developer - .NET</t>
        </is>
      </c>
      <c r="E975" t="inlineStr">
        <is>
          <t>1_Discovered</t>
        </is>
      </c>
      <c r="F975" t="inlineStr">
        <is>
          <t>fanout_batch</t>
        </is>
      </c>
      <c r="G975" t="inlineStr">
        <is>
          <t>retarget</t>
        </is>
      </c>
      <c r="H975" t="inlineStr">
        <is>
          <t>seed_generalist_dotnet_enterprise</t>
        </is>
      </c>
      <c r="I975" t="inlineStr">
        <is>
          <t>Generalist DotNet Enterprise</t>
        </is>
      </c>
      <c r="J975"/>
      <c r="K975"/>
      <c r="L975"/>
      <c r="M975"/>
      <c r="N975">
        <v>94.2</v>
      </c>
      <c r="O975" t="inlineStr">
        <is>
          <t>pass</t>
        </is>
      </c>
      <c r="P975">
        <f>HYPERLINK("file:///Users/jingyizhang/Documents/Playground/projects/local_job_resume_pipeline/data/deliverables/resume_portfolio/by_company/hone-health/2026-04-02/69ce23ffcdb525785fb943a2/resume.md","/Users/jingyizhang/Documents/Playground/projects/local_job_resume_pipeline/data/deliverables/resume_portfolio/by_company/hone-health/2026-04-02/69ce23ffcdb525785fb943a2/resume.md")</f>
      </c>
      <c r="Q975"/>
      <c r="R975">
        <f>HYPERLINK("https://boards.greenhouse.io/embed/job_app?token=4781850008&amp;utm_source=jobright","https://boards.greenhouse.io/embed/job_app?token=4781850008&amp;utm_source=jobright")</f>
      </c>
    </row>
    <row r="976">
      <c r="A976" t="inlineStr">
        <is>
          <t>Optimal Blue</t>
        </is>
      </c>
      <c r="B976" t="inlineStr">
        <is>
          <t>2026-04-02 03:06:43</t>
        </is>
      </c>
      <c r="C976" t="inlineStr">
        <is>
          <t>69ce2393891d7b11cfcc5705</t>
        </is>
      </c>
      <c r="D976" t="inlineStr">
        <is>
          <t>Senior Software Engineer</t>
        </is>
      </c>
      <c r="E976" t="inlineStr">
        <is>
          <t>1_Discovered</t>
        </is>
      </c>
      <c r="F976" t="inlineStr">
        <is>
          <t>fanout_batch</t>
        </is>
      </c>
      <c r="G976" t="inlineStr">
        <is>
          <t>retarget</t>
        </is>
      </c>
      <c r="H976" t="inlineStr">
        <is>
          <t>seed_generalist_dotnet_enterprise</t>
        </is>
      </c>
      <c r="I976" t="inlineStr">
        <is>
          <t>Generalist DotNet Enterprise</t>
        </is>
      </c>
      <c r="J976"/>
      <c r="K976"/>
      <c r="L976"/>
      <c r="M976"/>
      <c r="N976">
        <v>94.5</v>
      </c>
      <c r="O976" t="inlineStr">
        <is>
          <t>pass</t>
        </is>
      </c>
      <c r="P976">
        <f>HYPERLINK("file:///Users/jingyizhang/Documents/Playground/projects/local_job_resume_pipeline/data/deliverables/resume_portfolio/by_company/optimal-blue/2026-04-02/69ce2393891d7b11cfcc5705/resume.md","/Users/jingyizhang/Documents/Playground/projects/local_job_resume_pipeline/data/deliverables/resume_portfolio/by_company/optimal-blue/2026-04-02/69ce2393891d7b11cfcc5705/resume.md")</f>
      </c>
      <c r="Q976"/>
      <c r="R976">
        <f>HYPERLINK("https://talentmanagementsolution.wd3.myworkdayjobs.com/en-US/perseus-careers/job/Remote---USA/Senior-Software-Engineer_R50031?source=LinkedIn","https://talentmanagementsolution.wd3.myworkdayjobs.com/en-US/perseus-careers/job/Remote---USA/Senior-Software-Engineer_R50031?source=LinkedIn")</f>
      </c>
    </row>
    <row r="977">
      <c r="A977" t="inlineStr">
        <is>
          <t>Mixpanel</t>
        </is>
      </c>
      <c r="B977" t="inlineStr">
        <is>
          <t>2026-04-02 01:47:44</t>
        </is>
      </c>
      <c r="C977" t="inlineStr">
        <is>
          <t>69ce1110cfdc6132f94241c5</t>
        </is>
      </c>
      <c r="D977" t="inlineStr">
        <is>
          <t>Data Scientist</t>
        </is>
      </c>
      <c r="E977" t="inlineStr">
        <is>
          <t>1_Discovered</t>
        </is>
      </c>
      <c r="F977" t="inlineStr">
        <is>
          <t>fanout_batch</t>
        </is>
      </c>
      <c r="G977" t="inlineStr">
        <is>
          <t>reuse</t>
        </is>
      </c>
      <c r="H977" t="inlineStr">
        <is>
          <t>seed_plaid_data_scientist</t>
        </is>
      </c>
      <c r="I977" t="inlineStr">
        <is>
          <t>Plaid Data Scientist</t>
        </is>
      </c>
      <c r="J977"/>
      <c r="K977"/>
      <c r="L977"/>
      <c r="M977"/>
      <c r="N977"/>
      <c r="O977"/>
      <c r="P977"/>
      <c r="Q977"/>
      <c r="R977">
        <f>HYPERLINK("https://boards.greenhouse.io/embed/job_app?token=7769314&amp;utm_source=jobright","https://boards.greenhouse.io/embed/job_app?token=7769314&amp;utm_source=jobright")</f>
      </c>
    </row>
    <row r="978">
      <c r="A978" t="inlineStr">
        <is>
          <t>Tubi</t>
        </is>
      </c>
      <c r="B978" t="inlineStr">
        <is>
          <t>2026-04-02 01:39:13</t>
        </is>
      </c>
      <c r="C978" t="inlineStr">
        <is>
          <t>69c482876f4f855eeda7180c</t>
        </is>
      </c>
      <c r="D978" t="inlineStr">
        <is>
          <t>Data Scientist</t>
        </is>
      </c>
      <c r="E978" t="inlineStr">
        <is>
          <t>1_Discovered</t>
        </is>
      </c>
      <c r="F978" t="inlineStr">
        <is>
          <t>fanout_batch</t>
        </is>
      </c>
      <c r="G978" t="inlineStr">
        <is>
          <t>retarget</t>
        </is>
      </c>
      <c r="H978" t="inlineStr">
        <is>
          <t>seed_jpmc_data_mlops_anchor</t>
        </is>
      </c>
      <c r="I978" t="inlineStr">
        <is>
          <t>JPMorganChase Data Platform/MLOps Anchor</t>
        </is>
      </c>
      <c r="J978" t="inlineStr">
        <is>
          <t>jpmc_data_mlops_mainline</t>
        </is>
      </c>
      <c r="K978" t="inlineStr">
        <is>
          <t>mainline</t>
        </is>
      </c>
      <c r="L978"/>
      <c r="M978"/>
      <c r="N978">
        <v>92.5</v>
      </c>
      <c r="O978" t="inlineStr">
        <is>
          <t>conditional_pass</t>
        </is>
      </c>
      <c r="P978">
        <f>HYPERLINK("file:///Users/jingyizhang/Documents/Playground/projects/local_job_resume_pipeline/data/deliverables/resume_portfolio/by_company/tubi/2026-04-02/69c482876f4f855eeda7180c/resume.md","/Users/jingyizhang/Documents/Playground/projects/local_job_resume_pipeline/data/deliverables/resume_portfolio/by_company/tubi/2026-04-02/69c482876f4f855eeda7180c/resume.md")</f>
      </c>
      <c r="Q978"/>
      <c r="R978">
        <f>HYPERLINK("https://boards.greenhouse.io/embed/job_app?token=7753149&amp;utm_source=jobright","https://boards.greenhouse.io/embed/job_app?token=7753149&amp;utm_source=jobright")</f>
      </c>
    </row>
    <row r="979">
      <c r="A979" t="inlineStr">
        <is>
          <t>Glean</t>
        </is>
      </c>
      <c r="B979" t="inlineStr">
        <is>
          <t>2026-04-02 01:38:57</t>
        </is>
      </c>
      <c r="C979" t="inlineStr">
        <is>
          <t>69a8f13579f3f4037f438b51</t>
        </is>
      </c>
      <c r="D979" t="inlineStr">
        <is>
          <t>Machine Learning Engineer, LLM Evals &amp; Observability</t>
        </is>
      </c>
      <c r="E979" t="inlineStr">
        <is>
          <t>1_Discovered</t>
        </is>
      </c>
      <c r="F979" t="inlineStr">
        <is>
          <t>retarget_trial</t>
        </is>
      </c>
      <c r="G979" t="inlineStr">
        <is>
          <t>reuse</t>
        </is>
      </c>
      <c r="H979" t="inlineStr">
        <is>
          <t>seed_linkedin_mle_foundation</t>
        </is>
      </c>
      <c r="I979" t="inlineStr">
        <is>
          <t>LinkedIn MLE Foundation</t>
        </is>
      </c>
      <c r="J979"/>
      <c r="K979"/>
      <c r="L979"/>
      <c r="M979"/>
      <c r="N979"/>
      <c r="O979"/>
      <c r="P979"/>
      <c r="Q979"/>
      <c r="R979">
        <f>HYPERLINK("https://boards.greenhouse.io/embed/job_app?token=4669417005&amp;utm_source=jobright","https://boards.greenhouse.io/embed/job_app?token=4669417005&amp;utm_source=jobright")</f>
      </c>
    </row>
    <row r="980">
      <c r="A980" t="inlineStr">
        <is>
          <t>ITS Logistics</t>
        </is>
      </c>
      <c r="B980" t="inlineStr">
        <is>
          <t>2026-04-02 01:38:49</t>
        </is>
      </c>
      <c r="C980" t="inlineStr">
        <is>
          <t>69aa23461f59c56275e2f0b1</t>
        </is>
      </c>
      <c r="D980" t="inlineStr">
        <is>
          <t>Data Engineer</t>
        </is>
      </c>
      <c r="E980" t="inlineStr">
        <is>
          <t>1_Discovered</t>
        </is>
      </c>
      <c r="F980" t="inlineStr">
        <is>
          <t>fanout_batch</t>
        </is>
      </c>
      <c r="G980" t="inlineStr">
        <is>
          <t>retarget</t>
        </is>
      </c>
      <c r="H980" t="inlineStr">
        <is>
          <t>seed_qualified_health_data_engineer</t>
        </is>
      </c>
      <c r="I980" t="inlineStr">
        <is>
          <t>Qualified Health Data Engineer</t>
        </is>
      </c>
      <c r="J980"/>
      <c r="K980"/>
      <c r="L980"/>
      <c r="M980"/>
      <c r="N980">
        <v>93.7</v>
      </c>
      <c r="O980" t="inlineStr">
        <is>
          <t>pass</t>
        </is>
      </c>
      <c r="P980">
        <f>HYPERLINK("file:///Users/jingyizhang/Documents/Playground/projects/local_job_resume_pipeline/data/deliverables/resume_portfolio/by_company/its-logistics/2026-04-02/69aa23461f59c56275e2f0b1/resume.md","/Users/jingyizhang/Documents/Playground/projects/local_job_resume_pipeline/data/deliverables/resume_portfolio/by_company/its-logistics/2026-04-02/69aa23461f59c56275e2f0b1/resume.md")</f>
      </c>
      <c r="Q980"/>
      <c r="R980">
        <f>HYPERLINK("https://boards.greenhouse.io/embed/job_app?token=5143127008&amp;utm_source=jobright","https://boards.greenhouse.io/embed/job_app?token=5143127008&amp;utm_source=jobright")</f>
      </c>
    </row>
    <row r="981">
      <c r="A981" t="inlineStr">
        <is>
          <t>Avenue Code</t>
        </is>
      </c>
      <c r="B981" t="inlineStr">
        <is>
          <t>2026-04-02 01:38:04</t>
        </is>
      </c>
      <c r="C981" t="inlineStr">
        <is>
          <t>69c44fa5d5a1016e98db70a0</t>
        </is>
      </c>
      <c r="D981" t="inlineStr">
        <is>
          <t>Full Stack Engineer</t>
        </is>
      </c>
      <c r="E981" t="inlineStr">
        <is>
          <t>1_Discovered</t>
        </is>
      </c>
      <c r="F981" t="inlineStr">
        <is>
          <t>fanout_batch</t>
        </is>
      </c>
      <c r="G981" t="inlineStr">
        <is>
          <t>retarget</t>
        </is>
      </c>
      <c r="H981" t="inlineStr">
        <is>
          <t>seed_egen_fullstack_node</t>
        </is>
      </c>
      <c r="I981" t="inlineStr">
        <is>
          <t>Egen Fullstack Node</t>
        </is>
      </c>
      <c r="J981"/>
      <c r="K981"/>
      <c r="L981"/>
      <c r="M981"/>
      <c r="N981">
        <v>95.3</v>
      </c>
      <c r="O981" t="inlineStr">
        <is>
          <t>pass</t>
        </is>
      </c>
      <c r="P981">
        <f>HYPERLINK("file:///Users/jingyizhang/Documents/Playground/projects/local_job_resume_pipeline/data/deliverables/resume_portfolio/by_company/avenue-code/2026-04-02/69c44fa5d5a1016e98db70a0/resume.md","/Users/jingyizhang/Documents/Playground/projects/local_job_resume_pipeline/data/deliverables/resume_portfolio/by_company/avenue-code/2026-04-02/69c44fa5d5a1016e98db70a0/resume.md")</f>
      </c>
      <c r="Q981"/>
      <c r="R981">
        <f>HYPERLINK("https://www.linkedin.com/jobs/view/4390274524","https://www.linkedin.com/jobs/view/4390274524")</f>
      </c>
    </row>
    <row r="982">
      <c r="A982" t="inlineStr">
        <is>
          <t>Canonical</t>
        </is>
      </c>
      <c r="B982" t="inlineStr">
        <is>
          <t>2026-04-02 00:41:01</t>
        </is>
      </c>
      <c r="C982" t="inlineStr">
        <is>
          <t>69ce016d366bb95ba5506a41</t>
        </is>
      </c>
      <c r="D982" t="inlineStr">
        <is>
          <t>Software Engineer, Sustaining Engineering</t>
        </is>
      </c>
      <c r="E982" t="inlineStr">
        <is>
          <t>1_Discovered</t>
        </is>
      </c>
      <c r="F982" t="inlineStr">
        <is>
          <t>fanout_batch</t>
        </is>
      </c>
      <c r="G982" t="inlineStr">
        <is>
          <t>reuse</t>
        </is>
      </c>
      <c r="H982" t="inlineStr">
        <is>
          <t>seed_aws_support_backend_anchor</t>
        </is>
      </c>
      <c r="I982" t="inlineStr">
        <is>
          <t>AWS Support Backend Anchor</t>
        </is>
      </c>
      <c r="J982"/>
      <c r="K982"/>
      <c r="L982"/>
      <c r="M982"/>
      <c r="N982"/>
      <c r="O982"/>
      <c r="P982"/>
      <c r="Q982"/>
      <c r="R982">
        <f>HYPERLINK("https://boards.greenhouse.io/embed/job_app?token=7639880&amp;utm_source=jobright","https://boards.greenhouse.io/embed/job_app?token=7639880&amp;utm_source=jobright")</f>
      </c>
    </row>
    <row r="983">
      <c r="A983" t="inlineStr">
        <is>
          <t>Supio</t>
        </is>
      </c>
      <c r="B983" t="inlineStr">
        <is>
          <t>2026-04-02 00:40:49</t>
        </is>
      </c>
      <c r="C983" t="inlineStr">
        <is>
          <t>69ce0161398fb071abf80503</t>
        </is>
      </c>
      <c r="D983" t="inlineStr">
        <is>
          <t>Software Engineer, Core Product (Mid–Senior+)</t>
        </is>
      </c>
      <c r="E983" t="inlineStr">
        <is>
          <t>1_Discovered</t>
        </is>
      </c>
      <c r="F983" t="inlineStr">
        <is>
          <t>fanout_batch</t>
        </is>
      </c>
      <c r="G983" t="inlineStr">
        <is>
          <t>retarget</t>
        </is>
      </c>
      <c r="H983" t="inlineStr">
        <is>
          <t>seed_codex_amazon_sde</t>
        </is>
      </c>
      <c r="I983" t="inlineStr">
        <is>
          <t>Amazon SDE</t>
        </is>
      </c>
      <c r="J983" t="inlineStr">
        <is>
          <t>amazon_platform_mainline</t>
        </is>
      </c>
      <c r="K983" t="inlineStr">
        <is>
          <t>mainline</t>
        </is>
      </c>
      <c r="L983"/>
      <c r="M983"/>
      <c r="N983">
        <v>89.9</v>
      </c>
      <c r="O983" t="inlineStr">
        <is>
          <t>conditional_pass</t>
        </is>
      </c>
      <c r="P983">
        <f>HYPERLINK("file:///Users/jingyizhang/Documents/Playground/projects/local_job_resume_pipeline/data/deliverables/resume_portfolio/by_company/supio/2026-04-02/69ce0161398fb071abf80503/resume.md","/Users/jingyizhang/Documents/Playground/projects/local_job_resume_pipeline/data/deliverables/resume_portfolio/by_company/supio/2026-04-02/69ce0161398fb071abf80503/resume.md")</f>
      </c>
      <c r="Q983"/>
      <c r="R983">
        <f>HYPERLINK("https://jobs.gem.com/supio/am9icG9zdDokLY-gOKYyi4f5JNIx755l?src=Linkedin","https://jobs.gem.com/supio/am9icG9zdDokLY-gOKYyi4f5JNIx755l?src=Linkedin")</f>
      </c>
    </row>
    <row r="984">
      <c r="A984" t="inlineStr">
        <is>
          <t>Hewlett Packard Enterprise</t>
        </is>
      </c>
      <c r="B984" t="inlineStr">
        <is>
          <t>2026-04-02 00:40:44</t>
        </is>
      </c>
      <c r="C984" t="inlineStr">
        <is>
          <t>69ce015c891d7b11cfcc3ec2</t>
        </is>
      </c>
      <c r="D984" t="inlineStr">
        <is>
          <t>Software Engineer</t>
        </is>
      </c>
      <c r="E984" t="inlineStr">
        <is>
          <t>1_Discovered</t>
        </is>
      </c>
      <c r="F984" t="inlineStr">
        <is>
          <t>fanout_batch</t>
        </is>
      </c>
      <c r="G984" t="inlineStr">
        <is>
          <t>reuse</t>
        </is>
      </c>
      <c r="H984" t="inlineStr">
        <is>
          <t>seed_google_cloud_infra_anchor_candidate</t>
        </is>
      </c>
      <c r="I984" t="inlineStr">
        <is>
          <t>Google Cloud Infra Anchor</t>
        </is>
      </c>
      <c r="J984" t="inlineStr">
        <is>
          <t>google_cloud_infra_mainline</t>
        </is>
      </c>
      <c r="K984" t="inlineStr">
        <is>
          <t>mainline</t>
        </is>
      </c>
      <c r="L984"/>
      <c r="M984"/>
      <c r="N984"/>
      <c r="O984"/>
      <c r="P984"/>
      <c r="Q984"/>
      <c r="R984">
        <f>HYPERLINK("https://careers.hpe.com/us/en/job/1202029/Software-Engineer?utm_source=linkedin","https://careers.hpe.com/us/en/job/1202029/Software-Engineer?utm_source=linkedin")</f>
      </c>
    </row>
    <row r="985">
      <c r="A985" t="inlineStr">
        <is>
          <t>Uber</t>
        </is>
      </c>
      <c r="B985" t="inlineStr">
        <is>
          <t>2026-04-02 00:00:27</t>
        </is>
      </c>
      <c r="C985" t="inlineStr">
        <is>
          <t>69cdf7eb54f00230c6cfa375</t>
        </is>
      </c>
      <c r="D985" t="inlineStr">
        <is>
          <t>Software Engineer, Observability</t>
        </is>
      </c>
      <c r="E985" t="inlineStr">
        <is>
          <t>1_Discovered</t>
        </is>
      </c>
      <c r="F985" t="inlineStr">
        <is>
          <t>fanout_batch</t>
        </is>
      </c>
      <c r="G985" t="inlineStr">
        <is>
          <t>retarget</t>
        </is>
      </c>
      <c r="H985" t="inlineStr">
        <is>
          <t>seed_fullstack_dotnet_azure</t>
        </is>
      </c>
      <c r="I985" t="inlineStr">
        <is>
          <t>Fullstack DotNet Azure</t>
        </is>
      </c>
      <c r="J985"/>
      <c r="K985"/>
      <c r="L985"/>
      <c r="M985"/>
      <c r="N985">
        <v>94.0</v>
      </c>
      <c r="O985" t="inlineStr">
        <is>
          <t>pass</t>
        </is>
      </c>
      <c r="P985">
        <f>HYPERLINK("file:///Users/jingyizhang/Documents/Playground/projects/local_job_resume_pipeline/data/deliverables/resume_portfolio/by_company/uber/2026-04-02/69cdf7eb54f00230c6cfa375/resume.md","/Users/jingyizhang/Documents/Playground/projects/local_job_resume_pipeline/data/deliverables/resume_portfolio/by_company/uber/2026-04-02/69cdf7eb54f00230c6cfa375/resume.md")</f>
      </c>
      <c r="Q985"/>
      <c r="R985">
        <f>HYPERLINK("https://tnl2.jometer.com/v2/job?jz=5wqzs2f046845d92894636ea90db1b053325cKMAGUCAAAABQ&amp;iis=Job%20Board%20-%20Recruitment%20Marketing&amp;iisn=LinkedIn","https://tnl2.jometer.com/v2/job?jz=5wqzs2f046845d92894636ea90db1b053325cKMAGUCAAAABQ&amp;iis=Job%20Board%20-%20Recruitment%20Marketing&amp;iisn=LinkedIn")</f>
      </c>
    </row>
    <row r="986">
      <c r="A986" t="inlineStr">
        <is>
          <t>Waymo</t>
        </is>
      </c>
      <c r="B986" t="inlineStr">
        <is>
          <t>2026-04-01 23:49:25</t>
        </is>
      </c>
      <c r="C986" t="inlineStr">
        <is>
          <t>69846d438da7a612045e943f</t>
        </is>
      </c>
      <c r="D986" t="inlineStr">
        <is>
          <t>Software Engineer, Perception Evaluation</t>
        </is>
      </c>
      <c r="E986" t="inlineStr">
        <is>
          <t>1_Discovered</t>
        </is>
      </c>
      <c r="F986" t="inlineStr">
        <is>
          <t>seed_validation</t>
        </is>
      </c>
      <c r="G986" t="inlineStr">
        <is>
          <t>new_seed</t>
        </is>
      </c>
      <c r="H986" t="inlineStr">
        <is>
          <t>seed_codex_google_aiml</t>
        </is>
      </c>
      <c r="I986" t="inlineStr">
        <is>
          <t>Google AIML SWE</t>
        </is>
      </c>
      <c r="J986" t="inlineStr">
        <is>
          <t>google_product_ai_mainline</t>
        </is>
      </c>
      <c r="K986" t="inlineStr">
        <is>
          <t>mainline</t>
        </is>
      </c>
      <c r="L986"/>
      <c r="M986"/>
      <c r="N986">
        <v>92.7</v>
      </c>
      <c r="O986" t="inlineStr">
        <is>
          <t>conditional_pass</t>
        </is>
      </c>
      <c r="P986">
        <f>HYPERLINK("file:///Users/jingyizhang/Documents/Playground/projects/local_job_resume_pipeline/data/deliverables/resume_portfolio/by_company/waymo/2026-04-01/69846d438da7a612045e943f/resume.md","/Users/jingyizhang/Documents/Playground/projects/local_job_resume_pipeline/data/deliverables/resume_portfolio/by_company/waymo/2026-04-01/69846d438da7a612045e943f/resume.md")</f>
      </c>
      <c r="Q986"/>
      <c r="R986">
        <f>HYPERLINK("https://boards.greenhouse.io/embed/job_app?token=7256244&amp;utm_source=jobright","https://boards.greenhouse.io/embed/job_app?token=7256244&amp;utm_source=jobright")</f>
      </c>
    </row>
    <row r="987">
      <c r="A987" t="inlineStr">
        <is>
          <t>Zendesk</t>
        </is>
      </c>
      <c r="B987" t="inlineStr">
        <is>
          <t>2026-04-01 23:19:38</t>
        </is>
      </c>
      <c r="C987" t="inlineStr">
        <is>
          <t>69cf12e754f00230c6d0657e</t>
        </is>
      </c>
      <c r="D987" t="inlineStr">
        <is>
          <t>Senior Machine Learning Engineer - Hybrid (San Francisco or Austin)</t>
        </is>
      </c>
      <c r="E987" t="inlineStr">
        <is>
          <t>1_Discovered</t>
        </is>
      </c>
      <c r="F987" t="inlineStr">
        <is>
          <t>fanout_batch</t>
        </is>
      </c>
      <c r="G987" t="inlineStr">
        <is>
          <t>retarget</t>
        </is>
      </c>
      <c r="H987" t="inlineStr">
        <is>
          <t>seed_bytedance_ml_grad</t>
        </is>
      </c>
      <c r="I987" t="inlineStr">
        <is>
          <t>ByteDance ML Grad</t>
        </is>
      </c>
      <c r="J987"/>
      <c r="K987"/>
      <c r="L987"/>
      <c r="M987"/>
      <c r="N987">
        <v>82.0</v>
      </c>
      <c r="O987" t="inlineStr">
        <is>
          <t>fail</t>
        </is>
      </c>
      <c r="P987">
        <f>HYPERLINK("file:///Users/jingyizhang/Documents/Playground/projects/local_job_resume_pipeline/data/deliverables/resume_portfolio/by_company/zendesk/2026-04-01/69cf12e754f00230c6d0657e/resume.md","/Users/jingyizhang/Documents/Playground/projects/local_job_resume_pipeline/data/deliverables/resume_portfolio/by_company/zendesk/2026-04-01/69cf12e754f00230c6d0657e/resume.md")</f>
      </c>
      <c r="Q987"/>
      <c r="R987">
        <f>HYPERLINK("https://zendesk.wd1.myworkdayjobs.com/en-US/zendesk/job/San-Francisco-California-United-States-of-America/Senior-Machine-Learning-Engineer---Hybrid--San-Francisco-or-Austin-_R34578?lever-source=Indeed","https://zendesk.wd1.myworkdayjobs.com/en-US/zendesk/job/San-Francisco-California-United-States-of-America/Senior-Machine-Learning-Engineer---Hybrid--San-Francisco-or-Austin-_R34578?lever-source=Indeed")</f>
      </c>
    </row>
    <row r="988">
      <c r="A988" t="inlineStr">
        <is>
          <t>PayPal</t>
        </is>
      </c>
      <c r="B988" t="inlineStr">
        <is>
          <t>2026-04-01 22:54:33</t>
        </is>
      </c>
      <c r="C988" t="inlineStr">
        <is>
          <t>69cde879cdb525785fb9047f</t>
        </is>
      </c>
      <c r="D988" t="inlineStr">
        <is>
          <t>Sr Software Engineer</t>
        </is>
      </c>
      <c r="E988" t="inlineStr">
        <is>
          <t>1_Discovered</t>
        </is>
      </c>
      <c r="F988" t="inlineStr">
        <is>
          <t>fanout_batch</t>
        </is>
      </c>
      <c r="G988" t="inlineStr">
        <is>
          <t>retarget</t>
        </is>
      </c>
      <c r="H988" t="inlineStr">
        <is>
          <t>seed_paypal_java_backend</t>
        </is>
      </c>
      <c r="I988" t="inlineStr">
        <is>
          <t>PayPal Java Backend</t>
        </is>
      </c>
      <c r="J988"/>
      <c r="K988"/>
      <c r="L988"/>
      <c r="M988"/>
      <c r="N988">
        <v>94.0</v>
      </c>
      <c r="O988" t="inlineStr">
        <is>
          <t>pass</t>
        </is>
      </c>
      <c r="P988">
        <f>HYPERLINK("file:///Users/jingyizhang/Documents/Playground/projects/local_job_resume_pipeline/data/deliverables/resume_portfolio/by_company/paypal/2026-04-01/69cde879cdb525785fb9047f/resume.md","/Users/jingyizhang/Documents/Playground/projects/local_job_resume_pipeline/data/deliverables/resume_portfolio/by_company/paypal/2026-04-01/69cde879cdb525785fb9047f/resume.md")</f>
      </c>
      <c r="Q988"/>
      <c r="R988">
        <f>HYPERLINK("https://paypal.eightfold.ai/careers?domain=paypal.com&amp;sort_by=relevance&amp;query=R0133367&amp;Codes=W-LINKEDIN","https://paypal.eightfold.ai/careers?domain=paypal.com&amp;sort_by=relevance&amp;query=R0133367&amp;Codes=W-LINKEDIN")</f>
      </c>
    </row>
    <row r="989">
      <c r="A989" t="inlineStr">
        <is>
          <t>Amgen</t>
        </is>
      </c>
      <c r="B989" t="inlineStr">
        <is>
          <t>2026-04-01 22:28:22</t>
        </is>
      </c>
      <c r="C989" t="inlineStr">
        <is>
          <t>69cde256366bb95ba55040fe</t>
        </is>
      </c>
      <c r="D989" t="inlineStr">
        <is>
          <t>Senior Data Scientist</t>
        </is>
      </c>
      <c r="E989" t="inlineStr">
        <is>
          <t>1_Discovered</t>
        </is>
      </c>
      <c r="F989" t="inlineStr">
        <is>
          <t>fanout_batch</t>
        </is>
      </c>
      <c r="G989" t="inlineStr">
        <is>
          <t>reuse</t>
        </is>
      </c>
      <c r="H989" t="inlineStr">
        <is>
          <t>seed_plaid_data_scientist</t>
        </is>
      </c>
      <c r="I989" t="inlineStr">
        <is>
          <t>Plaid Data Scientist</t>
        </is>
      </c>
      <c r="J989"/>
      <c r="K989"/>
      <c r="L989"/>
      <c r="M989"/>
      <c r="N989"/>
      <c r="O989"/>
      <c r="P989"/>
      <c r="Q989"/>
      <c r="R989">
        <f>HYPERLINK("https://careers.amgen.com/job/-/-/87/90839093008?src=Linkedin","https://careers.amgen.com/job/-/-/87/90839093008?src=Linkedin")</f>
      </c>
    </row>
    <row r="990">
      <c r="A990" t="inlineStr">
        <is>
          <t>Stripe</t>
        </is>
      </c>
      <c r="B990" t="inlineStr">
        <is>
          <t>2026-04-01 22:20:03</t>
        </is>
      </c>
      <c r="C990" t="inlineStr">
        <is>
          <t>69cc862a8130af1ac833b1ad</t>
        </is>
      </c>
      <c r="D990" t="inlineStr">
        <is>
          <t>Backend/API Engineer, Money as a Service</t>
        </is>
      </c>
      <c r="E990" t="inlineStr">
        <is>
          <t>1_Discovered</t>
        </is>
      </c>
      <c r="F990" t="inlineStr">
        <is>
          <t>fanout_batch</t>
        </is>
      </c>
      <c r="G990" t="inlineStr">
        <is>
          <t>reuse</t>
        </is>
      </c>
      <c r="H990" t="inlineStr">
        <is>
          <t>seed_codex_google_fullstack</t>
        </is>
      </c>
      <c r="I990" t="inlineStr">
        <is>
          <t>Google Full Stack</t>
        </is>
      </c>
      <c r="J990" t="inlineStr">
        <is>
          <t>google_product_ai_mainline</t>
        </is>
      </c>
      <c r="K990" t="inlineStr">
        <is>
          <t>mainline</t>
        </is>
      </c>
      <c r="L990"/>
      <c r="M990"/>
      <c r="N990"/>
      <c r="O990"/>
      <c r="P990"/>
      <c r="Q990"/>
      <c r="R990">
        <f>HYPERLINK("https://stripe.com/jobs/listing/backend-api-engineer-money-as-a-service/6176758?gh_src=73vnei","https://stripe.com/jobs/listing/backend-api-engineer-money-as-a-service/6176758?gh_src=73vnei")</f>
      </c>
    </row>
    <row r="991">
      <c r="A991" t="inlineStr">
        <is>
          <t>MotherDuck</t>
        </is>
      </c>
      <c r="B991" t="inlineStr">
        <is>
          <t>2026-04-01 21:35:58</t>
        </is>
      </c>
      <c r="C991" t="inlineStr">
        <is>
          <t>69cdd60ecdb525785fb8f358</t>
        </is>
      </c>
      <c r="D991" t="inlineStr">
        <is>
          <t>Software Engineer - Backend</t>
        </is>
      </c>
      <c r="E991" t="inlineStr">
        <is>
          <t>1_Discovered</t>
        </is>
      </c>
      <c r="F991" t="inlineStr">
        <is>
          <t>fanout_batch</t>
        </is>
      </c>
      <c r="G991" t="inlineStr">
        <is>
          <t>retarget</t>
        </is>
      </c>
      <c r="H991" t="inlineStr">
        <is>
          <t>seed_google_cloud_infra_anchor_candidate</t>
        </is>
      </c>
      <c r="I991" t="inlineStr">
        <is>
          <t>Google Cloud Infra Anchor</t>
        </is>
      </c>
      <c r="J991" t="inlineStr">
        <is>
          <t>google_cloud_infra_mainline</t>
        </is>
      </c>
      <c r="K991" t="inlineStr">
        <is>
          <t>mainline</t>
        </is>
      </c>
      <c r="L991"/>
      <c r="M991"/>
      <c r="N991">
        <v>94.8</v>
      </c>
      <c r="O991" t="inlineStr">
        <is>
          <t>pass</t>
        </is>
      </c>
      <c r="P991">
        <f>HYPERLINK("file:///Users/jingyizhang/Documents/Playground/projects/local_job_resume_pipeline/data/deliverables/resume_portfolio/by_company/motherduck/2026-04-01/69cdd60ecdb525785fb8f358/resume.md","/Users/jingyizhang/Documents/Playground/projects/local_job_resume_pipeline/data/deliverables/resume_portfolio/by_company/motherduck/2026-04-01/69cdd60ecdb525785fb8f358/resume.md")</f>
      </c>
      <c r="Q991"/>
      <c r="R991">
        <f>HYPERLINK("https://jobs.ashbyhq.com/MotherDuck/ed355405-d983-4c53-abd3-b04fb72190e2/application?utm_source=5pdmv2WQl9","https://jobs.ashbyhq.com/MotherDuck/ed355405-d983-4c53-abd3-b04fb72190e2/application?utm_source=5pdmv2WQl9")</f>
      </c>
    </row>
    <row r="992">
      <c r="A992" t="inlineStr">
        <is>
          <t>JPMorganChase</t>
        </is>
      </c>
      <c r="B992" t="inlineStr">
        <is>
          <t>2026-04-01 21:28:55</t>
        </is>
      </c>
      <c r="C992" t="inlineStr">
        <is>
          <t>69cdd467891d7b11cfcc0380</t>
        </is>
      </c>
      <c r="D992" t="inlineStr">
        <is>
          <t>Applied AI/ML Associate</t>
        </is>
      </c>
      <c r="E992" t="inlineStr">
        <is>
          <t>1_Discovered</t>
        </is>
      </c>
      <c r="F992" t="inlineStr">
        <is>
          <t>fanout_batch</t>
        </is>
      </c>
      <c r="G992" t="inlineStr">
        <is>
          <t>retarget</t>
        </is>
      </c>
      <c r="H992" t="inlineStr">
        <is>
          <t>seed_bytedance_ml_grad</t>
        </is>
      </c>
      <c r="I992" t="inlineStr">
        <is>
          <t>ByteDance ML Grad</t>
        </is>
      </c>
      <c r="J992"/>
      <c r="K992"/>
      <c r="L992"/>
      <c r="M992"/>
      <c r="N992">
        <v>93.5</v>
      </c>
      <c r="O992" t="inlineStr">
        <is>
          <t>pass</t>
        </is>
      </c>
      <c r="P992">
        <f>HYPERLINK("file:///Users/jingyizhang/Documents/Playground/projects/local_job_resume_pipeline/data/deliverables/resume_portfolio/by_company/jpmorganchase/2026-04-01/69cdd467891d7b11cfcc0380/resume.md","/Users/jingyizhang/Documents/Playground/projects/local_job_resume_pipeline/data/deliverables/resume_portfolio/by_company/jpmorganchase/2026-04-01/69cdd467891d7b11cfcc0380/resume.md")</f>
      </c>
      <c r="Q992"/>
      <c r="R992">
        <f>HYPERLINK("https://JPMorganChase.contacthr.com/151668640","https://JPMorganChase.contacthr.com/151668640")</f>
      </c>
    </row>
    <row r="993">
      <c r="A993" t="inlineStr">
        <is>
          <t>Checkr, Inc.</t>
        </is>
      </c>
      <c r="B993" t="inlineStr">
        <is>
          <t>2026-04-01 21:28:55</t>
        </is>
      </c>
      <c r="C993" t="inlineStr">
        <is>
          <t>69cdd467891d7b11cfcc0382</t>
        </is>
      </c>
      <c r="D993" t="inlineStr">
        <is>
          <t>Python Engineer, Truework</t>
        </is>
      </c>
      <c r="E993" t="inlineStr">
        <is>
          <t>1_Discovered</t>
        </is>
      </c>
      <c r="F993" t="inlineStr">
        <is>
          <t>fanout_batch</t>
        </is>
      </c>
      <c r="G993" t="inlineStr">
        <is>
          <t>retarget</t>
        </is>
      </c>
      <c r="H993" t="inlineStr">
        <is>
          <t>seed_microsoft_polyglot_generalist</t>
        </is>
      </c>
      <c r="I993" t="inlineStr">
        <is>
          <t>Microsoft Polyglot Generalist</t>
        </is>
      </c>
      <c r="J993"/>
      <c r="K993"/>
      <c r="L993"/>
      <c r="M993"/>
      <c r="N993">
        <v>91.3</v>
      </c>
      <c r="O993" t="inlineStr">
        <is>
          <t>conditional_pass</t>
        </is>
      </c>
      <c r="P993">
        <f>HYPERLINK("file:///Users/jingyizhang/Documents/Playground/projects/local_job_resume_pipeline/data/deliverables/resume_portfolio/by_company/checkr-inc/2026-04-01/69cdd467891d7b11cfcc0382/resume.md","/Users/jingyizhang/Documents/Playground/projects/local_job_resume_pipeline/data/deliverables/resume_portfolio/by_company/checkr-inc/2026-04-01/69cdd467891d7b11cfcc0382/resume.md")</f>
      </c>
      <c r="Q993"/>
      <c r="R993">
        <f>HYPERLINK("https://boards.greenhouse.io/embed/job_app?token=7773798&amp;utm_source=jobright","https://boards.greenhouse.io/embed/job_app?token=7773798&amp;utm_source=jobright")</f>
      </c>
    </row>
    <row r="994">
      <c r="A994" t="inlineStr">
        <is>
          <t>JPMorganChase</t>
        </is>
      </c>
      <c r="B994" t="inlineStr">
        <is>
          <t>2026-04-01 21:28:35</t>
        </is>
      </c>
      <c r="C994" t="inlineStr">
        <is>
          <t>69cdd45354f00230c6cf6d55</t>
        </is>
      </c>
      <c r="D994" t="inlineStr">
        <is>
          <t>Software Engineer III - Full Stack Cloud (Java, React, AWS, GraphQL)</t>
        </is>
      </c>
      <c r="E994" t="inlineStr">
        <is>
          <t>1_Discovered</t>
        </is>
      </c>
      <c r="F994" t="inlineStr">
        <is>
          <t>fanout_batch</t>
        </is>
      </c>
      <c r="G994" t="inlineStr">
        <is>
          <t>retarget</t>
        </is>
      </c>
      <c r="H994" t="inlineStr">
        <is>
          <t>seed_egen_fullstack_node</t>
        </is>
      </c>
      <c r="I994" t="inlineStr">
        <is>
          <t>Egen Fullstack Node</t>
        </is>
      </c>
      <c r="J994"/>
      <c r="K994"/>
      <c r="L994"/>
      <c r="M994"/>
      <c r="N994">
        <v>96.1</v>
      </c>
      <c r="O994" t="inlineStr">
        <is>
          <t>pass</t>
        </is>
      </c>
      <c r="P994">
        <f>HYPERLINK("file:///Users/jingyizhang/Documents/Playground/projects/local_job_resume_pipeline/data/deliverables/resume_portfolio/by_company/jpmorganchase/2026-04-01/69cdd45354f00230c6cf6d55/resume.md","/Users/jingyizhang/Documents/Playground/projects/local_job_resume_pipeline/data/deliverables/resume_portfolio/by_company/jpmorganchase/2026-04-01/69cdd45354f00230c6cf6d55/resume.md")</f>
      </c>
      <c r="Q994"/>
      <c r="R994">
        <f>HYPERLINK("https://JPMorganChase.contacthr.com/151668572","https://JPMorganChase.contacthr.com/151668572")</f>
      </c>
    </row>
    <row r="995">
      <c r="A995" t="inlineStr">
        <is>
          <t>JPMorganChase</t>
        </is>
      </c>
      <c r="B995" t="inlineStr">
        <is>
          <t>2026-04-01 21:28:32</t>
        </is>
      </c>
      <c r="C995" t="inlineStr">
        <is>
          <t>69cdd45054f00230c6cf6d4d</t>
        </is>
      </c>
      <c r="D995" t="inlineStr">
        <is>
          <t>Software Engineer [Multiple Positions Available]</t>
        </is>
      </c>
      <c r="E995" t="inlineStr">
        <is>
          <t>1_Discovered</t>
        </is>
      </c>
      <c r="F995" t="inlineStr">
        <is>
          <t>fanout_batch</t>
        </is>
      </c>
      <c r="G995" t="inlineStr">
        <is>
          <t>retarget</t>
        </is>
      </c>
      <c r="H995" t="inlineStr">
        <is>
          <t>seed_itential_generalist_algorithms</t>
        </is>
      </c>
      <c r="I995" t="inlineStr">
        <is>
          <t>Itential Generalist Algorithms</t>
        </is>
      </c>
      <c r="J995"/>
      <c r="K995"/>
      <c r="L995"/>
      <c r="M995"/>
      <c r="N995">
        <v>93.5</v>
      </c>
      <c r="O995" t="inlineStr">
        <is>
          <t>pass</t>
        </is>
      </c>
      <c r="P995">
        <f>HYPERLINK("file:///Users/jingyizhang/Documents/Playground/projects/local_job_resume_pipeline/data/deliverables/resume_portfolio/by_company/jpmorganchase/2026-04-01/69cdd45054f00230c6cf6d4d/resume.md","/Users/jingyizhang/Documents/Playground/projects/local_job_resume_pipeline/data/deliverables/resume_portfolio/by_company/jpmorganchase/2026-04-01/69cdd45054f00230c6cf6d4d/resume.md")</f>
      </c>
      <c r="Q995"/>
      <c r="R995">
        <f>HYPERLINK("https://JPMorganChase.contacthr.com/151668684","https://JPMorganChase.contacthr.com/151668684")</f>
      </c>
    </row>
    <row r="996">
      <c r="A996" t="inlineStr">
        <is>
          <t>Intone</t>
        </is>
      </c>
      <c r="B996" t="inlineStr">
        <is>
          <t>2026-04-01 21:15:53</t>
        </is>
      </c>
      <c r="C996" t="inlineStr">
        <is>
          <t>69cde8a2cdb525785fb90497</t>
        </is>
      </c>
      <c r="D996" t="inlineStr">
        <is>
          <t>Software Engineer (L2, Java, SQL)</t>
        </is>
      </c>
      <c r="E996" t="inlineStr">
        <is>
          <t>1_Discovered</t>
        </is>
      </c>
      <c r="F996" t="inlineStr">
        <is>
          <t>fanout_batch</t>
        </is>
      </c>
      <c r="G996" t="inlineStr">
        <is>
          <t>retarget</t>
        </is>
      </c>
      <c r="H996" t="inlineStr">
        <is>
          <t>seed_paypal_java_backend</t>
        </is>
      </c>
      <c r="I996" t="inlineStr">
        <is>
          <t>PayPal Java Backend</t>
        </is>
      </c>
      <c r="J996"/>
      <c r="K996"/>
      <c r="L996"/>
      <c r="M996"/>
      <c r="N996">
        <v>90.0</v>
      </c>
      <c r="O996" t="inlineStr">
        <is>
          <t>conditional_pass</t>
        </is>
      </c>
      <c r="P996">
        <f>HYPERLINK("file:///Users/jingyizhang/Documents/Playground/projects/local_job_resume_pipeline/data/deliverables/resume_portfolio/by_company/intone/2026-04-01/69cde8a2cdb525785fb90497/resume.md","/Users/jingyizhang/Documents/Playground/projects/local_job_resume_pipeline/data/deliverables/resume_portfolio/by_company/intone/2026-04-01/69cde8a2cdb525785fb90497/resume.md")</f>
      </c>
      <c r="Q996"/>
      <c r="R996">
        <f>HYPERLINK("https://intone.com/careers-at-intone/","https://intone.com/careers-at-intone/")</f>
      </c>
    </row>
    <row r="997">
      <c r="A997" t="inlineStr">
        <is>
          <t>GSK</t>
        </is>
      </c>
      <c r="B997" t="inlineStr">
        <is>
          <t>2026-04-01 20:51:22</t>
        </is>
      </c>
      <c r="C997" t="inlineStr">
        <is>
          <t>69cdcb9a366bb95ba55029e5</t>
        </is>
      </c>
      <c r="D997" t="inlineStr">
        <is>
          <t>Senior Gen AI Platform Engineer</t>
        </is>
      </c>
      <c r="E997" t="inlineStr">
        <is>
          <t>1_Discovered</t>
        </is>
      </c>
      <c r="F997" t="inlineStr">
        <is>
          <t>fanout_batch</t>
        </is>
      </c>
      <c r="G997" t="inlineStr">
        <is>
          <t>reuse</t>
        </is>
      </c>
      <c r="H997" t="inlineStr">
        <is>
          <t>seed_bytedance_ml_grad</t>
        </is>
      </c>
      <c r="I997" t="inlineStr">
        <is>
          <t>ByteDance ML Grad</t>
        </is>
      </c>
      <c r="J997"/>
      <c r="K997"/>
      <c r="L997"/>
      <c r="M997"/>
      <c r="N997"/>
      <c r="O997"/>
      <c r="P997"/>
      <c r="Q997"/>
      <c r="R997">
        <f>HYPERLINK("https://jobs.gsk.com/jobs/431251?lang=en-us&amp;source=LinkedIn","https://jobs.gsk.com/jobs/431251?lang=en-us&amp;source=LinkedIn")</f>
      </c>
    </row>
    <row r="998">
      <c r="A998" t="inlineStr">
        <is>
          <t>RevSpring</t>
        </is>
      </c>
      <c r="B998" t="inlineStr">
        <is>
          <t>2026-04-01 20:41:21</t>
        </is>
      </c>
      <c r="C998" t="inlineStr">
        <is>
          <t>69bdfca7482822729300b481</t>
        </is>
      </c>
      <c r="D998" t="inlineStr">
        <is>
          <t>Software Engineer II- Enrichment</t>
        </is>
      </c>
      <c r="E998" t="inlineStr">
        <is>
          <t>1_Discovered</t>
        </is>
      </c>
      <c r="F998" t="inlineStr">
        <is>
          <t>fanout_batch</t>
        </is>
      </c>
      <c r="G998" t="inlineStr">
        <is>
          <t>retarget</t>
        </is>
      </c>
      <c r="H998" t="inlineStr">
        <is>
          <t>seed_paypal_java_backend</t>
        </is>
      </c>
      <c r="I998" t="inlineStr">
        <is>
          <t>PayPal Java Backend</t>
        </is>
      </c>
      <c r="J998"/>
      <c r="K998"/>
      <c r="L998"/>
      <c r="M998"/>
      <c r="N998">
        <v>91.9</v>
      </c>
      <c r="O998" t="inlineStr">
        <is>
          <t>conditional_pass</t>
        </is>
      </c>
      <c r="P998">
        <f>HYPERLINK("file:///Users/jingyizhang/Documents/Playground/projects/local_job_resume_pipeline/data/deliverables/resume_portfolio/by_company/revspring/2026-04-01/69bdfca7482822729300b481/resume.md","/Users/jingyizhang/Documents/Playground/projects/local_job_resume_pipeline/data/deliverables/resume_portfolio/by_company/revspring/2026-04-01/69bdfca7482822729300b481/resume.md")</f>
      </c>
      <c r="Q998"/>
      <c r="R998">
        <f>HYPERLINK("https://recruitingbypaycor.com/career/JobIntroduction.action?fromAggregate=true&amp;clientId=8a7883d0798f66af0179905b7890010b&amp;id=8a7885a89d02e553019d0d15f82458d6&amp;source=LinkedIn&amp;lang=en","https://recruitingbypaycor.com/career/JobIntroduction.action?fromAggregate=true&amp;clientId=8a7883d0798f66af0179905b7890010b&amp;id=8a7885a89d02e553019d0d15f82458d6&amp;source=LinkedIn&amp;lang=en")</f>
      </c>
    </row>
    <row r="999">
      <c r="A999" t="inlineStr">
        <is>
          <t>SambaNova</t>
        </is>
      </c>
      <c r="B999" t="inlineStr">
        <is>
          <t>2026-04-01 20:40:01</t>
        </is>
      </c>
      <c r="C999" t="inlineStr">
        <is>
          <t>69a7679776bbe83d3afaca93</t>
        </is>
      </c>
      <c r="D999" t="inlineStr">
        <is>
          <t>Software Engineer</t>
        </is>
      </c>
      <c r="E999" t="inlineStr">
        <is>
          <t>1_Discovered</t>
        </is>
      </c>
      <c r="F999" t="inlineStr">
        <is>
          <t>fanout_batch</t>
        </is>
      </c>
      <c r="G999" t="inlineStr">
        <is>
          <t>reuse</t>
        </is>
      </c>
      <c r="H999" t="inlineStr">
        <is>
          <t>seed_generalist_dotnet_enterprise</t>
        </is>
      </c>
      <c r="I999" t="inlineStr">
        <is>
          <t>Generalist DotNet Enterprise</t>
        </is>
      </c>
      <c r="J999"/>
      <c r="K999"/>
      <c r="L999"/>
      <c r="M999"/>
      <c r="N999"/>
      <c r="O999"/>
      <c r="P999"/>
      <c r="Q999"/>
      <c r="R999">
        <f>HYPERLINK("https://boards.greenhouse.io/embed/job_app?token=5817837004&amp;utm_source=jobright","https://boards.greenhouse.io/embed/job_app?token=5817837004&amp;utm_source=jobright")</f>
      </c>
    </row>
    <row r="1000">
      <c r="A1000" t="inlineStr">
        <is>
          <t>Informatica</t>
        </is>
      </c>
      <c r="B1000" t="inlineStr">
        <is>
          <t>2026-04-01 19:58:11</t>
        </is>
      </c>
      <c r="C1000" t="inlineStr">
        <is>
          <t>69cdd1dd398fb071abf7cab2</t>
        </is>
      </c>
      <c r="D1000" t="inlineStr">
        <is>
          <t>Software Engineer, Search Infrastructure - Slack</t>
        </is>
      </c>
      <c r="E1000" t="inlineStr">
        <is>
          <t>1_Discovered</t>
        </is>
      </c>
      <c r="F1000" t="inlineStr">
        <is>
          <t>fanout_batch</t>
        </is>
      </c>
      <c r="G1000" t="inlineStr">
        <is>
          <t>retarget</t>
        </is>
      </c>
      <c r="H1000" t="inlineStr">
        <is>
          <t>seed_google_cloud_infra_anchor_candidate</t>
        </is>
      </c>
      <c r="I1000" t="inlineStr">
        <is>
          <t>Google Cloud Infra Anchor</t>
        </is>
      </c>
      <c r="J1000" t="inlineStr">
        <is>
          <t>google_cloud_infra_mainline</t>
        </is>
      </c>
      <c r="K1000" t="inlineStr">
        <is>
          <t>mainline</t>
        </is>
      </c>
      <c r="L1000"/>
      <c r="M1000"/>
      <c r="N1000">
        <v>94.3</v>
      </c>
      <c r="O1000" t="inlineStr">
        <is>
          <t>pass</t>
        </is>
      </c>
      <c r="P1000">
        <f>HYPERLINK("file:///Users/jingyizhang/Documents/Playground/projects/local_job_resume_pipeline/data/deliverables/resume_portfolio/by_company/informatica/2026-04-01/69cdd1dd398fb071abf7cab2/resume.md","/Users/jingyizhang/Documents/Playground/projects/local_job_resume_pipeline/data/deliverables/resume_portfolio/by_company/informatica/2026-04-01/69cdd1dd398fb071abf7cab2/resume.md")</f>
      </c>
      <c r="Q1000"/>
      <c r="R1000">
        <f>HYPERLINK("https://careers.salesforce.com/en/jobs/jr331613/software-engineer-search-infrastructure-slack/","https://careers.salesforce.com/en/jobs/jr331613/software-engineer-search-infrastructure-slack/")</f>
      </c>
    </row>
    <row r="1001">
      <c r="A1001" t="inlineStr">
        <is>
          <t>GAINS</t>
        </is>
      </c>
      <c r="B1001" t="inlineStr">
        <is>
          <t>2026-04-01 19:21:20</t>
        </is>
      </c>
      <c r="C1001" t="inlineStr">
        <is>
          <t>69cec507398fb071abf88ea0</t>
        </is>
      </c>
      <c r="D1001" t="inlineStr">
        <is>
          <t>Applied Data Scientist</t>
        </is>
      </c>
      <c r="E1001" t="inlineStr">
        <is>
          <t>1_Discovered</t>
        </is>
      </c>
      <c r="F1001" t="inlineStr">
        <is>
          <t>fanout_batch</t>
        </is>
      </c>
      <c r="G1001" t="inlineStr">
        <is>
          <t>retarget</t>
        </is>
      </c>
      <c r="H1001" t="inlineStr">
        <is>
          <t>seed_h2o_ai_engineer</t>
        </is>
      </c>
      <c r="I1001" t="inlineStr">
        <is>
          <t>H2O AI Engineer</t>
        </is>
      </c>
      <c r="J1001"/>
      <c r="K1001"/>
      <c r="L1001"/>
      <c r="M1001"/>
      <c r="N1001">
        <v>93.7</v>
      </c>
      <c r="O1001" t="inlineStr">
        <is>
          <t>pass</t>
        </is>
      </c>
      <c r="P1001">
        <f>HYPERLINK("file:///Users/jingyizhang/Documents/Playground/projects/local_job_resume_pipeline/data/deliverables/resume_portfolio/by_company/gains/2026-04-01/69cec507398fb071abf88ea0/resume.md","/Users/jingyizhang/Documents/Playground/projects/local_job_resume_pipeline/data/deliverables/resume_portfolio/by_company/gains/2026-04-01/69cec507398fb071abf88ea0/resume.md")</f>
      </c>
      <c r="Q1001"/>
      <c r="R1001">
        <f>HYPERLINK("https://gainsystems.applytojob.com/apply/PXUNIuJHW7/Applied-Data-Scientist?source=LinkedIn","https://gainsystems.applytojob.com/apply/PXUNIuJHW7/Applied-Data-Scientist?source=LinkedIn")</f>
      </c>
    </row>
    <row r="1002">
      <c r="A1002" t="inlineStr">
        <is>
          <t>Thermo Fisher Scientific</t>
        </is>
      </c>
      <c r="B1002" t="inlineStr">
        <is>
          <t>2026-04-01 18:38:01</t>
        </is>
      </c>
      <c r="C1002" t="inlineStr">
        <is>
          <t>69cdac59cdb525785fb8d815</t>
        </is>
      </c>
      <c r="D1002" t="inlineStr">
        <is>
          <t>Data Scientist II</t>
        </is>
      </c>
      <c r="E1002" t="inlineStr">
        <is>
          <t>1_Discovered</t>
        </is>
      </c>
      <c r="F1002" t="inlineStr">
        <is>
          <t>fanout_batch</t>
        </is>
      </c>
      <c r="G1002" t="inlineStr">
        <is>
          <t>retarget</t>
        </is>
      </c>
      <c r="H1002" t="inlineStr">
        <is>
          <t>seed_qualified_health_data_engineer</t>
        </is>
      </c>
      <c r="I1002" t="inlineStr">
        <is>
          <t>Qualified Health Data Engineer</t>
        </is>
      </c>
      <c r="J1002"/>
      <c r="K1002"/>
      <c r="L1002"/>
      <c r="M1002"/>
      <c r="N1002">
        <v>92.0</v>
      </c>
      <c r="O1002" t="inlineStr">
        <is>
          <t>conditional_pass</t>
        </is>
      </c>
      <c r="P1002">
        <f>HYPERLINK("file:///Users/jingyizhang/Documents/Playground/projects/local_job_resume_pipeline/data/deliverables/resume_portfolio/by_company/thermo-fisher-scientific/2026-04-01/69cdac59cdb525785fb8d815/resume.md","/Users/jingyizhang/Documents/Playground/projects/local_job_resume_pipeline/data/deliverables/resume_portfolio/by_company/thermo-fisher-scientific/2026-04-01/69cdac59cdb525785fb8d815/resume.md")</f>
      </c>
      <c r="Q1002"/>
      <c r="R1002">
        <f>HYPERLINK("https://thermofisher.wd5.myworkdayjobs.com/thermofishercareers/job/St-Louis-Missouri-USA/Data-Scientist-II_R-01346977","https://thermofisher.wd5.myworkdayjobs.com/thermofishercareers/job/St-Louis-Missouri-USA/Data-Scientist-II_R-01346977")</f>
      </c>
    </row>
    <row r="1003">
      <c r="A1003" t="inlineStr">
        <is>
          <t>Egen</t>
        </is>
      </c>
      <c r="B1003" t="inlineStr">
        <is>
          <t>2026-04-01 17:55:40</t>
        </is>
      </c>
      <c r="C1003" t="inlineStr">
        <is>
          <t>69cda26c398fb071abf7a98d</t>
        </is>
      </c>
      <c r="D1003" t="inlineStr">
        <is>
          <t>Senior Full Stack Engineer- TypeScript/Node</t>
        </is>
      </c>
      <c r="E1003" t="inlineStr">
        <is>
          <t>1_Discovered</t>
        </is>
      </c>
      <c r="F1003" t="inlineStr">
        <is>
          <t>seed_source</t>
        </is>
      </c>
      <c r="G1003" t="inlineStr">
        <is>
          <t>seed_source</t>
        </is>
      </c>
      <c r="H1003" t="inlineStr">
        <is>
          <t>seed_egen_fullstack_node</t>
        </is>
      </c>
      <c r="I1003" t="inlineStr">
        <is>
          <t>Egen Fullstack Node</t>
        </is>
      </c>
      <c r="J1003"/>
      <c r="K1003"/>
      <c r="L1003"/>
      <c r="M1003"/>
      <c r="N1003">
        <v>93.5</v>
      </c>
      <c r="O1003" t="inlineStr">
        <is>
          <t>pass</t>
        </is>
      </c>
      <c r="P1003">
        <f>HYPERLINK("file:///Users/jingyizhang/Documents/Playground/projects/local_job_resume_pipeline/data/deliverables/resume_portfolio/by_company/egen/2026-04-01/69cda26c398fb071abf7a98d/resume.md","/Users/jingyizhang/Documents/Playground/projects/local_job_resume_pipeline/data/deliverables/resume_portfolio/by_company/egen/2026-04-01/69cda26c398fb071abf7a98d/resume.md")</f>
      </c>
      <c r="Q1003"/>
      <c r="R1003">
        <f>HYPERLINK("https://jobs.lever.co/egen/d93a91bd-7276-47c4-8818-9b78cc269fda/apply?lever-source=jobright","https://jobs.lever.co/egen/d93a91bd-7276-47c4-8818-9b78cc269fda/apply?lever-source=jobright")</f>
      </c>
    </row>
    <row r="1004">
      <c r="A1004" t="inlineStr">
        <is>
          <t>JPMorganChase</t>
        </is>
      </c>
      <c r="B1004" t="inlineStr">
        <is>
          <t>2026-04-01 17:54:34</t>
        </is>
      </c>
      <c r="C1004" t="inlineStr">
        <is>
          <t>69cda22acfdc6132f941db8a</t>
        </is>
      </c>
      <c r="D1004" t="inlineStr">
        <is>
          <t>2026 Asset Wealth Management Machine Learning Engineer-Summer Associate</t>
        </is>
      </c>
      <c r="E1004" t="inlineStr">
        <is>
          <t>1_Discovered</t>
        </is>
      </c>
      <c r="F1004" t="inlineStr">
        <is>
          <t>fanout_batch</t>
        </is>
      </c>
      <c r="G1004" t="inlineStr">
        <is>
          <t>reuse</t>
        </is>
      </c>
      <c r="H1004" t="inlineStr">
        <is>
          <t>seed_bytedance_ml_grad</t>
        </is>
      </c>
      <c r="I1004" t="inlineStr">
        <is>
          <t>ByteDance ML Grad</t>
        </is>
      </c>
      <c r="J1004"/>
      <c r="K1004"/>
      <c r="L1004"/>
      <c r="M1004"/>
      <c r="N1004"/>
      <c r="O1004"/>
      <c r="P1004"/>
      <c r="Q1004"/>
      <c r="R1004">
        <f>HYPERLINK("https://jpmc.fa.oraclecloud.com/hcmUI/CandidateExperience/en/sites/CX_1001/job/210687370","https://jpmc.fa.oraclecloud.com/hcmUI/CandidateExperience/en/sites/CX_1001/job/210687370")</f>
      </c>
    </row>
    <row r="1005">
      <c r="A1005" t="inlineStr">
        <is>
          <t>PayPal</t>
        </is>
      </c>
      <c r="B1005" t="inlineStr">
        <is>
          <t>2026-04-01 16:50:08</t>
        </is>
      </c>
      <c r="C1005" t="inlineStr">
        <is>
          <t>69cd9310891d7b11cfcbdbf5</t>
        </is>
      </c>
      <c r="D1005" t="inlineStr">
        <is>
          <t>Sr Machine Learning Engineer</t>
        </is>
      </c>
      <c r="E1005" t="inlineStr">
        <is>
          <t>1_Discovered</t>
        </is>
      </c>
      <c r="F1005" t="inlineStr">
        <is>
          <t>fanout_batch</t>
        </is>
      </c>
      <c r="G1005" t="inlineStr">
        <is>
          <t>retarget</t>
        </is>
      </c>
      <c r="H1005" t="inlineStr">
        <is>
          <t>seed_h2o_ai_engineer</t>
        </is>
      </c>
      <c r="I1005" t="inlineStr">
        <is>
          <t>H2O AI Engineer</t>
        </is>
      </c>
      <c r="J1005"/>
      <c r="K1005"/>
      <c r="L1005"/>
      <c r="M1005"/>
      <c r="N1005">
        <v>94.4</v>
      </c>
      <c r="O1005" t="inlineStr">
        <is>
          <t>pass</t>
        </is>
      </c>
      <c r="P1005">
        <f>HYPERLINK("file:///Users/jingyizhang/Documents/Playground/projects/local_job_resume_pipeline/data/deliverables/resume_portfolio/by_company/paypal/2026-04-01/69cd9310891d7b11cfcbdbf5/resume.md","/Users/jingyizhang/Documents/Playground/projects/local_job_resume_pipeline/data/deliverables/resume_portfolio/by_company/paypal/2026-04-01/69cd9310891d7b11cfcbdbf5/resume.md")</f>
      </c>
      <c r="Q1005"/>
      <c r="R1005">
        <f>HYPERLINK("https://paypal.eightfold.ai/careers?domain=paypal.com&amp;sort_by=relevance&amp;query=R0135858&amp;Codes=W-LINKEDIN","https://paypal.eightfold.ai/careers?domain=paypal.com&amp;sort_by=relevance&amp;query=R0135858&amp;Codes=W-LINKEDIN")</f>
      </c>
    </row>
    <row r="1006">
      <c r="A1006" t="inlineStr">
        <is>
          <t>Trimble Inc.</t>
        </is>
      </c>
      <c r="B1006" t="inlineStr">
        <is>
          <t>2026-04-01 16:49:39</t>
        </is>
      </c>
      <c r="C1006" t="inlineStr">
        <is>
          <t>69cd92f3891d7b11cfcbdbcc</t>
        </is>
      </c>
      <c r="D1006" t="inlineStr">
        <is>
          <t>Software Engineer AI</t>
        </is>
      </c>
      <c r="E1006" t="inlineStr">
        <is>
          <t>1_Discovered</t>
        </is>
      </c>
      <c r="F1006" t="inlineStr">
        <is>
          <t>fanout_batch</t>
        </is>
      </c>
      <c r="G1006" t="inlineStr">
        <is>
          <t>retarget</t>
        </is>
      </c>
      <c r="H1006" t="inlineStr">
        <is>
          <t>seed_microsoft_coreai_platform_anchor</t>
        </is>
      </c>
      <c r="I1006" t="inlineStr">
        <is>
          <t>Microsoft CoreAI/BIC Platform Anchor</t>
        </is>
      </c>
      <c r="J1006"/>
      <c r="K1006"/>
      <c r="L1006"/>
      <c r="M1006"/>
      <c r="N1006">
        <v>96.1</v>
      </c>
      <c r="O1006" t="inlineStr">
        <is>
          <t>pass</t>
        </is>
      </c>
      <c r="P1006">
        <f>HYPERLINK("file:///Users/jingyizhang/Documents/Playground/projects/local_job_resume_pipeline/data/deliverables/resume_portfolio/by_company/trimble-inc/2026-04-01/69cd92f3891d7b11cfcbdbcc/resume.md","/Users/jingyizhang/Documents/Playground/projects/local_job_resume_pipeline/data/deliverables/resume_portfolio/by_company/trimble-inc/2026-04-01/69cd92f3891d7b11cfcbdbcc/resume.md")</f>
      </c>
      <c r="Q1006"/>
      <c r="R1006">
        <f>HYPERLINK("https://trimble.eightfold.ai/careers/job/171839755521?microsite=trimble.com&amp;domain=trimble.com&amp;src=LinkedIN","https://trimble.eightfold.ai/careers/job/171839755521?microsite=trimble.com&amp;domain=trimble.com&amp;src=LinkedIN")</f>
      </c>
    </row>
    <row r="1007">
      <c r="A1007" t="inlineStr">
        <is>
          <t>BETSOL</t>
        </is>
      </c>
      <c r="B1007" t="inlineStr">
        <is>
          <t>2026-04-01 16:40:58</t>
        </is>
      </c>
      <c r="C1007" t="inlineStr">
        <is>
          <t>69cd90eacfdc6132f941d24a</t>
        </is>
      </c>
      <c r="D1007" t="inlineStr">
        <is>
          <t>Associate – AI &amp; Automation (Early Career / New Graduate)</t>
        </is>
      </c>
      <c r="E1007" t="inlineStr">
        <is>
          <t>1_Discovered</t>
        </is>
      </c>
      <c r="F1007" t="inlineStr">
        <is>
          <t>seed_validation</t>
        </is>
      </c>
      <c r="G1007" t="inlineStr">
        <is>
          <t>reuse</t>
        </is>
      </c>
      <c r="H1007" t="inlineStr">
        <is>
          <t>seed_gm_genai</t>
        </is>
      </c>
      <c r="I1007" t="inlineStr">
        <is>
          <t>GM Financial GenAI</t>
        </is>
      </c>
      <c r="J1007"/>
      <c r="K1007"/>
      <c r="L1007"/>
      <c r="M1007"/>
      <c r="N1007"/>
      <c r="O1007"/>
      <c r="P1007"/>
      <c r="Q1007"/>
      <c r="R1007">
        <f>HYPERLINK("https://jobs.smartrecruiters.com/BETSOL/744000118256256-associate-ai-automation-early-career-new-graduate-?trid=2d92f286-613b-4daf-9dfa-6340ffbecf73","https://jobs.smartrecruiters.com/BETSOL/744000118256256-associate-ai-automation-early-career-new-graduate-?trid=2d92f286-613b-4daf-9dfa-6340ffbecf73")</f>
      </c>
    </row>
    <row r="1008">
      <c r="A1008" t="inlineStr">
        <is>
          <t>Fullsteam</t>
        </is>
      </c>
      <c r="B1008" t="inlineStr">
        <is>
          <t>2026-04-01 16:20:31</t>
        </is>
      </c>
      <c r="C1008" t="inlineStr">
        <is>
          <t>69cd8c1f366bb95ba54ffef6</t>
        </is>
      </c>
      <c r="D1008" t="inlineStr">
        <is>
          <t>Full-Stack Software Developer</t>
        </is>
      </c>
      <c r="E1008" t="inlineStr">
        <is>
          <t>1_Discovered</t>
        </is>
      </c>
      <c r="F1008" t="inlineStr">
        <is>
          <t>fanout_batch</t>
        </is>
      </c>
      <c r="G1008" t="inlineStr">
        <is>
          <t>retarget</t>
        </is>
      </c>
      <c r="H1008" t="inlineStr">
        <is>
          <t>seed_egen_fullstack_node</t>
        </is>
      </c>
      <c r="I1008" t="inlineStr">
        <is>
          <t>Egen Fullstack Node</t>
        </is>
      </c>
      <c r="J1008"/>
      <c r="K1008"/>
      <c r="L1008"/>
      <c r="M1008"/>
      <c r="N1008">
        <v>90.4</v>
      </c>
      <c r="O1008" t="inlineStr">
        <is>
          <t>conditional_pass</t>
        </is>
      </c>
      <c r="P1008">
        <f>HYPERLINK("file:///Users/jingyizhang/Documents/Playground/projects/local_job_resume_pipeline/data/deliverables/resume_portfolio/by_company/fullsteam/2026-04-01/69cd8c1f366bb95ba54ffef6/resume.md","/Users/jingyizhang/Documents/Playground/projects/local_job_resume_pipeline/data/deliverables/resume_portfolio/by_company/fullsteam/2026-04-01/69cd8c1f366bb95ba54ffef6/resume.md")</f>
      </c>
      <c r="Q1008"/>
      <c r="R1008">
        <f>HYPERLINK("https://fullsteam.wd1.myworkdayjobs.com/External/job/Remote---US/Full-Stack-Software-Developer_JR102078","https://fullsteam.wd1.myworkdayjobs.com/External/job/Remote---US/Full-Stack-Software-Developer_JR102078")</f>
      </c>
    </row>
    <row r="1009">
      <c r="A1009" t="inlineStr">
        <is>
          <t>State Street</t>
        </is>
      </c>
      <c r="B1009" t="inlineStr">
        <is>
          <t>2026-04-01 16:05:17</t>
        </is>
      </c>
      <c r="C1009" t="inlineStr">
        <is>
          <t>69c6510e1b5ad028873838ba</t>
        </is>
      </c>
      <c r="D1009" t="inlineStr">
        <is>
          <t>Software Developer, Officer</t>
        </is>
      </c>
      <c r="E1009" t="inlineStr">
        <is>
          <t>1_Discovered</t>
        </is>
      </c>
      <c r="F1009" t="inlineStr">
        <is>
          <t>seed_validation</t>
        </is>
      </c>
      <c r="G1009" t="inlineStr">
        <is>
          <t>retarget</t>
        </is>
      </c>
      <c r="H1009" t="inlineStr">
        <is>
          <t>seed_fullstack_dotnet_azure</t>
        </is>
      </c>
      <c r="I1009" t="inlineStr">
        <is>
          <t>Fullstack DotNet Azure</t>
        </is>
      </c>
      <c r="J1009"/>
      <c r="K1009"/>
      <c r="L1009"/>
      <c r="M1009"/>
      <c r="N1009">
        <v>94.0</v>
      </c>
      <c r="O1009" t="inlineStr">
        <is>
          <t>pass</t>
        </is>
      </c>
      <c r="P1009">
        <f>HYPERLINK("file:///Users/jingyizhang/Documents/Playground/projects/local_job_resume_pipeline/data/deliverables/resume_portfolio/by_company/state-street/2026-04-01/69c6510e1b5ad028873838ba/resume.md","/Users/jingyizhang/Documents/Playground/projects/local_job_resume_pipeline/data/deliverables/resume_portfolio/by_company/state-street/2026-04-01/69c6510e1b5ad028873838ba/resume.md")</f>
      </c>
      <c r="Q1009"/>
      <c r="R1009">
        <f>HYPERLINK("https://statestreet.wd1.myworkdayjobs.com/Global/job/Quincy-Massachusetts/Software-Developer--Officer_R-786294-1?source=APPLICANT_SOURCE-LINKEDIN","https://statestreet.wd1.myworkdayjobs.com/Global/job/Quincy-Massachusetts/Software-Developer--Officer_R-786294-1?source=APPLICANT_SOURCE-LINKEDIN")</f>
      </c>
    </row>
    <row r="1010">
      <c r="A1010" t="inlineStr">
        <is>
          <t>Jump Trading</t>
        </is>
      </c>
      <c r="B1010" t="inlineStr">
        <is>
          <t>2026-04-01 15:59:26</t>
        </is>
      </c>
      <c r="C1010" t="inlineStr">
        <is>
          <t>69cd872e54f00230c6cf32ea</t>
        </is>
      </c>
      <c r="D1010" t="inlineStr">
        <is>
          <t>Applied AI Engineer (AI Adoption)</t>
        </is>
      </c>
      <c r="E1010" t="inlineStr">
        <is>
          <t>1_Discovered</t>
        </is>
      </c>
      <c r="F1010" t="inlineStr">
        <is>
          <t>retarget_trial</t>
        </is>
      </c>
      <c r="G1010" t="inlineStr">
        <is>
          <t>reuse</t>
        </is>
      </c>
      <c r="H1010" t="inlineStr">
        <is>
          <t>candidate_h2o_ai_engineer</t>
        </is>
      </c>
      <c r="I1010" t="inlineStr">
        <is>
          <t>H2O AI Engineer</t>
        </is>
      </c>
      <c r="J1010"/>
      <c r="K1010"/>
      <c r="L1010"/>
      <c r="M1010"/>
      <c r="N1010"/>
      <c r="O1010"/>
      <c r="P1010"/>
      <c r="Q1010"/>
      <c r="R1010">
        <f>HYPERLINK("https://boards.greenhouse.io/embed/job_app?token=7773688&amp;utm_source=jobright","https://boards.greenhouse.io/embed/job_app?token=7773688&amp;utm_source=jobright")</f>
      </c>
    </row>
    <row r="1011">
      <c r="A1011" t="inlineStr">
        <is>
          <t>Red Hat</t>
        </is>
      </c>
      <c r="B1011" t="inlineStr">
        <is>
          <t>2026-04-01 15:52:23</t>
        </is>
      </c>
      <c r="C1011" t="inlineStr">
        <is>
          <t>69cdb56e54f00230c6cf5910</t>
        </is>
      </c>
      <c r="D1011" t="inlineStr">
        <is>
          <t>Senior Software Engineer - Konflux</t>
        </is>
      </c>
      <c r="E1011" t="inlineStr">
        <is>
          <t>1_Discovered</t>
        </is>
      </c>
      <c r="F1011" t="inlineStr">
        <is>
          <t>fanout_batch</t>
        </is>
      </c>
      <c r="G1011" t="inlineStr">
        <is>
          <t>reuse</t>
        </is>
      </c>
      <c r="H1011" t="inlineStr">
        <is>
          <t>seed_aws_generalist_embedded</t>
        </is>
      </c>
      <c r="I1011" t="inlineStr">
        <is>
          <t>AWS Generalist Embedded</t>
        </is>
      </c>
      <c r="J1011"/>
      <c r="K1011"/>
      <c r="L1011"/>
      <c r="M1011"/>
      <c r="N1011"/>
      <c r="O1011"/>
      <c r="P1011"/>
      <c r="Q1011"/>
      <c r="R1011">
        <f>HYPERLINK("https://redhat.wd5.myworkdayjobs.com/jobs/job/Raleigh/Senior-Software-Engineer_R-053810-2?%26%3Fmode=job&amp;%26iis=Job%2BBoard&amp;%26iisn=LinkedIn%2BPosting&amp;source=LinkedIn","https://redhat.wd5.myworkdayjobs.com/jobs/job/Raleigh/Senior-Software-Engineer_R-053810-2?%26%3Fmode=job&amp;%26iis=Job%2BBoard&amp;%26iisn=LinkedIn%2BPosting&amp;source=LinkedIn")</f>
      </c>
    </row>
    <row r="1012">
      <c r="A1012" t="inlineStr">
        <is>
          <t>Chalk</t>
        </is>
      </c>
      <c r="B1012" t="inlineStr">
        <is>
          <t>2026-04-01 15:49:39</t>
        </is>
      </c>
      <c r="C1012" t="inlineStr">
        <is>
          <t>69892a320f6f7e7a2ce426df</t>
        </is>
      </c>
      <c r="D1012" t="inlineStr">
        <is>
          <t>Software Engineer - NY</t>
        </is>
      </c>
      <c r="E1012" t="inlineStr">
        <is>
          <t>1_Discovered</t>
        </is>
      </c>
      <c r="F1012" t="inlineStr">
        <is>
          <t>fanout_batch</t>
        </is>
      </c>
      <c r="G1012" t="inlineStr">
        <is>
          <t>retarget</t>
        </is>
      </c>
      <c r="H1012" t="inlineStr">
        <is>
          <t>seed_google_cloud_infra_anchor_candidate</t>
        </is>
      </c>
      <c r="I1012" t="inlineStr">
        <is>
          <t>Google Cloud Infra Anchor</t>
        </is>
      </c>
      <c r="J1012" t="inlineStr">
        <is>
          <t>google_cloud_infra_mainline</t>
        </is>
      </c>
      <c r="K1012" t="inlineStr">
        <is>
          <t>mainline</t>
        </is>
      </c>
      <c r="L1012"/>
      <c r="M1012"/>
      <c r="N1012">
        <v>94.3</v>
      </c>
      <c r="O1012" t="inlineStr">
        <is>
          <t>pass</t>
        </is>
      </c>
      <c r="P1012">
        <f>HYPERLINK("file:///Users/jingyizhang/Documents/Playground/projects/local_job_resume_pipeline/data/deliverables/resume_portfolio/by_company/chalk/2026-04-01/69892a320f6f7e7a2ce426df/resume.md","/Users/jingyizhang/Documents/Playground/projects/local_job_resume_pipeline/data/deliverables/resume_portfolio/by_company/chalk/2026-04-01/69892a320f6f7e7a2ce426df/resume.md")</f>
      </c>
      <c r="Q1012"/>
      <c r="R1012">
        <f>HYPERLINK("https://boards.greenhouse.io/embed/job_app?token=4031707005&amp;utm_source=jobright","https://boards.greenhouse.io/embed/job_app?token=4031707005&amp;utm_source=jobright")</f>
      </c>
    </row>
    <row r="1013">
      <c r="A1013" t="inlineStr">
        <is>
          <t>SquareTrade</t>
        </is>
      </c>
      <c r="B1013" t="inlineStr">
        <is>
          <t>2026-04-01 15:41:19</t>
        </is>
      </c>
      <c r="C1013" t="inlineStr">
        <is>
          <t>6991df640cc8ea15f1dc6fb0</t>
        </is>
      </c>
      <c r="D1013" t="inlineStr">
        <is>
          <t>Software Engineer</t>
        </is>
      </c>
      <c r="E1013" t="inlineStr">
        <is>
          <t>1_Discovered</t>
        </is>
      </c>
      <c r="F1013" t="inlineStr">
        <is>
          <t>fanout_batch</t>
        </is>
      </c>
      <c r="G1013" t="inlineStr">
        <is>
          <t>reuse</t>
        </is>
      </c>
      <c r="H1013" t="inlineStr">
        <is>
          <t>seed_cisco_backend_api</t>
        </is>
      </c>
      <c r="I1013" t="inlineStr">
        <is>
          <t>Cisco Backend API</t>
        </is>
      </c>
      <c r="J1013"/>
      <c r="K1013"/>
      <c r="L1013"/>
      <c r="M1013"/>
      <c r="N1013"/>
      <c r="O1013"/>
      <c r="P1013"/>
      <c r="Q1013"/>
      <c r="R1013">
        <f>HYPERLINK("https://jobs.smartrecruiters.com/SquareTrade1/744000109082896-software-engineer?trid=2d92f286-613b-4daf-9dfa-6340ffbecf73","https://jobs.smartrecruiters.com/SquareTrade1/744000109082896-software-engineer?trid=2d92f286-613b-4daf-9dfa-6340ffbecf73")</f>
      </c>
    </row>
    <row r="1014">
      <c r="A1014" t="inlineStr">
        <is>
          <t>Aquatic Capital Management</t>
        </is>
      </c>
      <c r="B1014" t="inlineStr">
        <is>
          <t>2026-04-01 15:38:15</t>
        </is>
      </c>
      <c r="C1014" t="inlineStr">
        <is>
          <t>69cd823754f00230c6cf1105</t>
        </is>
      </c>
      <c r="D1014" t="inlineStr">
        <is>
          <t>Software Engineer, Early Career</t>
        </is>
      </c>
      <c r="E1014" t="inlineStr">
        <is>
          <t>1_Discovered</t>
        </is>
      </c>
      <c r="F1014" t="inlineStr">
        <is>
          <t>seed_validation</t>
        </is>
      </c>
      <c r="G1014" t="inlineStr">
        <is>
          <t>reuse</t>
        </is>
      </c>
      <c r="H1014" t="inlineStr">
        <is>
          <t>atomizer_07_early-career_generalist_sde_resume</t>
        </is>
      </c>
      <c r="I1014" t="inlineStr">
        <is>
          <t>07 Early-Career Generalist SDE</t>
        </is>
      </c>
      <c r="J1014"/>
      <c r="K1014"/>
      <c r="L1014"/>
      <c r="M1014"/>
      <c r="N1014"/>
      <c r="O1014"/>
      <c r="P1014"/>
      <c r="Q1014"/>
      <c r="R1014">
        <f>HYPERLINK("https://boards.greenhouse.io/embed/job_app?token=8489226002&amp;utm_source=jobright","https://boards.greenhouse.io/embed/job_app?token=8489226002&amp;utm_source=jobright")</f>
      </c>
    </row>
    <row r="1015">
      <c r="A1015" t="inlineStr">
        <is>
          <t>Applied Intuition</t>
        </is>
      </c>
      <c r="B1015" t="inlineStr">
        <is>
          <t>2026-04-01 15:33:42</t>
        </is>
      </c>
      <c r="C1015" t="inlineStr">
        <is>
          <t>6863199bf31c4006c6c3a06e</t>
        </is>
      </c>
      <c r="D1015" t="inlineStr">
        <is>
          <t>Software Engineer - Developer Infrastructure</t>
        </is>
      </c>
      <c r="E1015" t="inlineStr">
        <is>
          <t>1_Discovered</t>
        </is>
      </c>
      <c r="F1015" t="inlineStr">
        <is>
          <t>fanout_batch</t>
        </is>
      </c>
      <c r="G1015" t="inlineStr">
        <is>
          <t>retarget</t>
        </is>
      </c>
      <c r="H1015" t="inlineStr">
        <is>
          <t>seed_google_cloud_infra_anchor_candidate</t>
        </is>
      </c>
      <c r="I1015" t="inlineStr">
        <is>
          <t>Google Cloud Infra Anchor</t>
        </is>
      </c>
      <c r="J1015" t="inlineStr">
        <is>
          <t>google_cloud_infra_mainline</t>
        </is>
      </c>
      <c r="K1015" t="inlineStr">
        <is>
          <t>mainline</t>
        </is>
      </c>
      <c r="L1015"/>
      <c r="M1015"/>
      <c r="N1015">
        <v>93.5</v>
      </c>
      <c r="O1015" t="inlineStr">
        <is>
          <t>pass</t>
        </is>
      </c>
      <c r="P1015">
        <f>HYPERLINK("file:///Users/jingyizhang/Documents/Playground/projects/local_job_resume_pipeline/data/deliverables/resume_portfolio/by_company/applied-intuition/2026-04-01/6863199bf31c4006c6c3a06e/resume.md","/Users/jingyizhang/Documents/Playground/projects/local_job_resume_pipeline/data/deliverables/resume_portfolio/by_company/applied-intuition/2026-04-01/6863199bf31c4006c6c3a06e/resume.md")</f>
      </c>
      <c r="Q1015"/>
      <c r="R1015">
        <f>HYPERLINK("https://boards.greenhouse.io/embed/job_app?token=4581501005&amp;utm_source=jobright","https://boards.greenhouse.io/embed/job_app?token=4581501005&amp;utm_source=jobright")</f>
      </c>
    </row>
    <row r="1016">
      <c r="A1016" t="inlineStr">
        <is>
          <t>University of Colorado</t>
        </is>
      </c>
      <c r="B1016" t="inlineStr">
        <is>
          <t>2026-04-01 15:31:12</t>
        </is>
      </c>
      <c r="C1016" t="inlineStr">
        <is>
          <t>69cd809054f00230c6cf06b9</t>
        </is>
      </c>
      <c r="D1016" t="inlineStr">
        <is>
          <t>Data Scientist</t>
        </is>
      </c>
      <c r="E1016" t="inlineStr">
        <is>
          <t>1_Discovered</t>
        </is>
      </c>
      <c r="F1016" t="inlineStr">
        <is>
          <t>fanout_batch</t>
        </is>
      </c>
      <c r="G1016" t="inlineStr">
        <is>
          <t>reuse</t>
        </is>
      </c>
      <c r="H1016" t="inlineStr">
        <is>
          <t>seed_plaid_data_scientist</t>
        </is>
      </c>
      <c r="I1016" t="inlineStr">
        <is>
          <t>Plaid Data Scientist</t>
        </is>
      </c>
      <c r="J1016"/>
      <c r="K1016"/>
      <c r="L1016"/>
      <c r="M1016"/>
      <c r="N1016"/>
      <c r="O1016"/>
      <c r="P1016"/>
      <c r="Q1016"/>
      <c r="R1016">
        <f>HYPERLINK("https://cu.taleo.net/careersection/2/jobdetail.ftl?job=39464&amp;src=JB-BB-10227","https://cu.taleo.net/careersection/2/jobdetail.ftl?job=39464&amp;src=JB-BB-10227")</f>
      </c>
    </row>
    <row r="1017">
      <c r="A1017" t="inlineStr">
        <is>
          <t>Qualitest</t>
        </is>
      </c>
      <c r="B1017" t="inlineStr">
        <is>
          <t>2026-04-01 15:29:13</t>
        </is>
      </c>
      <c r="C1017" t="inlineStr">
        <is>
          <t>69cd8019891d7b11cfcb993e</t>
        </is>
      </c>
      <c r="D1017" t="inlineStr">
        <is>
          <t>Full-Stack / Backend Engineer</t>
        </is>
      </c>
      <c r="E1017" t="inlineStr">
        <is>
          <t>1_Discovered</t>
        </is>
      </c>
      <c r="F1017" t="inlineStr">
        <is>
          <t>fanout_batch</t>
        </is>
      </c>
      <c r="G1017" t="inlineStr">
        <is>
          <t>retarget</t>
        </is>
      </c>
      <c r="H1017" t="inlineStr">
        <is>
          <t>seed_codex_amazon_sde</t>
        </is>
      </c>
      <c r="I1017" t="inlineStr">
        <is>
          <t>Amazon SDE</t>
        </is>
      </c>
      <c r="J1017" t="inlineStr">
        <is>
          <t>amazon_platform_mainline</t>
        </is>
      </c>
      <c r="K1017" t="inlineStr">
        <is>
          <t>mainline</t>
        </is>
      </c>
      <c r="L1017"/>
      <c r="M1017"/>
      <c r="N1017">
        <v>94.4</v>
      </c>
      <c r="O1017" t="inlineStr">
        <is>
          <t>pass</t>
        </is>
      </c>
      <c r="P1017">
        <f>HYPERLINK("file:///Users/jingyizhang/Documents/Playground/projects/local_job_resume_pipeline/data/deliverables/resume_portfolio/by_company/qualitest/2026-04-01/69cd8019891d7b11cfcb993e/resume.md","/Users/jingyizhang/Documents/Playground/projects/local_job_resume_pipeline/data/deliverables/resume_portfolio/by_company/qualitest/2026-04-01/69cd8019891d7b11cfcb993e/resume.md")</f>
      </c>
      <c r="Q1017"/>
      <c r="R1017">
        <f>HYPERLINK("https://www.linkedin.com/jobs/view/4393027785","https://www.linkedin.com/jobs/view/4393027785")</f>
      </c>
    </row>
    <row r="1018">
      <c r="A1018" t="inlineStr">
        <is>
          <t>IDEXX Livestock Diagnostics</t>
        </is>
      </c>
      <c r="B1018" t="inlineStr">
        <is>
          <t>2026-04-01 14:33:09</t>
        </is>
      </c>
      <c r="C1018" t="inlineStr">
        <is>
          <t>69cd72f5891d7b11cfcb8db7</t>
        </is>
      </c>
      <c r="D1018" t="inlineStr">
        <is>
          <t>Software Developer</t>
        </is>
      </c>
      <c r="E1018" t="inlineStr">
        <is>
          <t>1_Discovered</t>
        </is>
      </c>
      <c r="F1018" t="inlineStr">
        <is>
          <t>seed_validation</t>
        </is>
      </c>
      <c r="G1018" t="inlineStr">
        <is>
          <t>reuse</t>
        </is>
      </c>
      <c r="H1018" t="inlineStr">
        <is>
          <t>seed_cisco_backend_api</t>
        </is>
      </c>
      <c r="I1018" t="inlineStr">
        <is>
          <t>Cisco Backend API</t>
        </is>
      </c>
      <c r="J1018"/>
      <c r="K1018"/>
      <c r="L1018"/>
      <c r="M1018"/>
      <c r="N1018"/>
      <c r="O1018"/>
      <c r="P1018"/>
      <c r="Q1018"/>
      <c r="R1018">
        <f>HYPERLINK("https://idexx.wd1.myworkdayjobs.com/idexx/job/Westbrook-ME/Software-Developer_J-052098","https://idexx.wd1.myworkdayjobs.com/idexx/job/Westbrook-ME/Software-Developer_J-052098")</f>
      </c>
    </row>
    <row r="1019">
      <c r="A1019" t="inlineStr">
        <is>
          <t>Greenlight</t>
        </is>
      </c>
      <c r="B1019" t="inlineStr">
        <is>
          <t>2026-04-01 13:58:15</t>
        </is>
      </c>
      <c r="C1019" t="inlineStr">
        <is>
          <t>69c565eee565c26a7000f359</t>
        </is>
      </c>
      <c r="D1019" t="inlineStr">
        <is>
          <t>Associate Data Analyst</t>
        </is>
      </c>
      <c r="E1019" t="inlineStr">
        <is>
          <t>1_Discovered</t>
        </is>
      </c>
      <c r="F1019" t="inlineStr">
        <is>
          <t>fanout_batch</t>
        </is>
      </c>
      <c r="G1019" t="inlineStr">
        <is>
          <t>reuse</t>
        </is>
      </c>
      <c r="H1019" t="inlineStr">
        <is>
          <t>seed_plaid_data_scientist</t>
        </is>
      </c>
      <c r="I1019" t="inlineStr">
        <is>
          <t>Plaid Data Scientist</t>
        </is>
      </c>
      <c r="J1019"/>
      <c r="K1019"/>
      <c r="L1019"/>
      <c r="M1019"/>
      <c r="N1019"/>
      <c r="O1019"/>
      <c r="P1019"/>
      <c r="Q1019"/>
      <c r="R1019">
        <f>HYPERLINK("https://jobs.lever.co/greenlight/beded9c4-6acf-4fcc-8aa9-8870555d2bfb/apply?utm_source=jobright","https://jobs.lever.co/greenlight/beded9c4-6acf-4fcc-8aa9-8870555d2bfb/apply?utm_source=jobright")</f>
      </c>
    </row>
    <row r="1020">
      <c r="A1020" t="inlineStr">
        <is>
          <t>Microsoft</t>
        </is>
      </c>
      <c r="B1020" t="inlineStr">
        <is>
          <t>2026-04-01 13:55:28</t>
        </is>
      </c>
      <c r="C1020" t="inlineStr">
        <is>
          <t>69cd6a20cdb525785fb87b2c</t>
        </is>
      </c>
      <c r="D1020" t="inlineStr">
        <is>
          <t>Software Engineer 2 - AI</t>
        </is>
      </c>
      <c r="E1020" t="inlineStr">
        <is>
          <t>1_Discovered</t>
        </is>
      </c>
      <c r="F1020" t="inlineStr">
        <is>
          <t>fanout_batch</t>
        </is>
      </c>
      <c r="G1020" t="inlineStr">
        <is>
          <t>reuse</t>
        </is>
      </c>
      <c r="H1020" t="inlineStr">
        <is>
          <t>seed_h2o_ai_engineer</t>
        </is>
      </c>
      <c r="I1020" t="inlineStr">
        <is>
          <t>H2O AI Engineer</t>
        </is>
      </c>
      <c r="J1020"/>
      <c r="K1020"/>
      <c r="L1020"/>
      <c r="M1020"/>
      <c r="N1020"/>
      <c r="O1020"/>
      <c r="P1020"/>
      <c r="Q1020"/>
      <c r="R1020">
        <f>HYPERLINK("https://apply.careers.microsoft.com/careers/job/1970393556824086?utm_source=linkedin&amp;domain=microsoft.com&amp;src=LinkedIn","https://apply.careers.microsoft.com/careers/job/1970393556824086?utm_source=linkedin&amp;domain=microsoft.com&amp;src=LinkedIn")</f>
      </c>
    </row>
    <row r="1021">
      <c r="A1021" t="inlineStr">
        <is>
          <t>Affirm</t>
        </is>
      </c>
      <c r="B1021" t="inlineStr">
        <is>
          <t>2026-04-01 13:39:38</t>
        </is>
      </c>
      <c r="C1021" t="inlineStr">
        <is>
          <t>69a1f3930da45516f16b3db5</t>
        </is>
      </c>
      <c r="D1021" t="inlineStr">
        <is>
          <t>Senior Software Engineer</t>
        </is>
      </c>
      <c r="E1021" t="inlineStr">
        <is>
          <t>1_Discovered</t>
        </is>
      </c>
      <c r="F1021" t="inlineStr">
        <is>
          <t>fanout_batch</t>
        </is>
      </c>
      <c r="G1021" t="inlineStr">
        <is>
          <t>retarget</t>
        </is>
      </c>
      <c r="H1021" t="inlineStr">
        <is>
          <t>seed_google_cloud_infra_anchor_candidate</t>
        </is>
      </c>
      <c r="I1021" t="inlineStr">
        <is>
          <t>Google Cloud Infra Anchor</t>
        </is>
      </c>
      <c r="J1021" t="inlineStr">
        <is>
          <t>google_cloud_infra_mainline</t>
        </is>
      </c>
      <c r="K1021" t="inlineStr">
        <is>
          <t>mainline</t>
        </is>
      </c>
      <c r="L1021"/>
      <c r="M1021"/>
      <c r="N1021">
        <v>95.0</v>
      </c>
      <c r="O1021" t="inlineStr">
        <is>
          <t>pass</t>
        </is>
      </c>
      <c r="P1021">
        <f>HYPERLINK("file:///Users/jingyizhang/Documents/Playground/projects/local_job_resume_pipeline/data/deliverables/resume_portfolio/by_company/affirm/2026-04-01/69a1f3930da45516f16b3db5/resume.md","/Users/jingyizhang/Documents/Playground/projects/local_job_resume_pipeline/data/deliverables/resume_portfolio/by_company/affirm/2026-04-01/69a1f3930da45516f16b3db5/resume.md")</f>
      </c>
      <c r="Q1021"/>
      <c r="R1021">
        <f>HYPERLINK("https://boards.greenhouse.io/embed/job_app?token=7593407003&amp;utm_source=jobright","https://boards.greenhouse.io/embed/job_app?token=7593407003&amp;utm_source=jobright")</f>
      </c>
    </row>
    <row r="1022">
      <c r="A1022" t="inlineStr">
        <is>
          <t>Bloom Energy</t>
        </is>
      </c>
      <c r="B1022" t="inlineStr">
        <is>
          <t>2026-04-01 13:30:39</t>
        </is>
      </c>
      <c r="C1022" t="inlineStr">
        <is>
          <t>69cd644fcdb525785fb8744b</t>
        </is>
      </c>
      <c r="D1022" t="inlineStr">
        <is>
          <t>MES Software Engineer</t>
        </is>
      </c>
      <c r="E1022" t="inlineStr">
        <is>
          <t>1_Discovered</t>
        </is>
      </c>
      <c r="F1022" t="inlineStr">
        <is>
          <t>seed_validation</t>
        </is>
      </c>
      <c r="G1022" t="inlineStr">
        <is>
          <t>retarget</t>
        </is>
      </c>
      <c r="H1022" t="inlineStr">
        <is>
          <t>seed_zillow_agentic_mle</t>
        </is>
      </c>
      <c r="I1022" t="inlineStr">
        <is>
          <t>Zillow Agentic MLE</t>
        </is>
      </c>
      <c r="J1022"/>
      <c r="K1022"/>
      <c r="L1022"/>
      <c r="M1022"/>
      <c r="N1022">
        <v>94.0</v>
      </c>
      <c r="O1022" t="inlineStr">
        <is>
          <t>pass</t>
        </is>
      </c>
      <c r="P1022">
        <f>HYPERLINK("file:///Users/jingyizhang/Documents/Playground/projects/local_job_resume_pipeline/data/deliverables/resume_portfolio/by_company/bloom-energy/2026-04-01/69cd644fcdb525785fb8744b/resume.md","/Users/jingyizhang/Documents/Playground/projects/local_job_resume_pipeline/data/deliverables/resume_portfolio/by_company/bloom-energy/2026-04-01/69cd644fcdb525785fb8744b/resume.md")</f>
      </c>
      <c r="Q1022"/>
      <c r="R1022">
        <f>HYPERLINK("https://bloomenergy.wd1.myworkdayjobs.com/BloomEnergyCareers/job/Newark-Delaware/MES-Software-Engineer_JR-21794?source=LinkedIn","https://bloomenergy.wd1.myworkdayjobs.com/BloomEnergyCareers/job/Newark-Delaware/MES-Software-Engineer_JR-21794?source=LinkedIn")</f>
      </c>
    </row>
    <row r="1023">
      <c r="A1023" t="inlineStr">
        <is>
          <t>Almac Group</t>
        </is>
      </c>
      <c r="B1023" t="inlineStr">
        <is>
          <t>2026-04-01 13:23:54</t>
        </is>
      </c>
      <c r="C1023" t="inlineStr">
        <is>
          <t>69cd6df554f00230c6cef5b6</t>
        </is>
      </c>
      <c r="D1023" t="inlineStr">
        <is>
          <t>AI Software Engineer</t>
        </is>
      </c>
      <c r="E1023" t="inlineStr">
        <is>
          <t>1_Discovered</t>
        </is>
      </c>
      <c r="F1023" t="inlineStr">
        <is>
          <t>fanout_batch</t>
        </is>
      </c>
      <c r="G1023" t="inlineStr">
        <is>
          <t>reuse</t>
        </is>
      </c>
      <c r="H1023" t="inlineStr">
        <is>
          <t>seed_h2o_ai_engineer</t>
        </is>
      </c>
      <c r="I1023" t="inlineStr">
        <is>
          <t>H2O AI Engineer</t>
        </is>
      </c>
      <c r="J1023"/>
      <c r="K1023"/>
      <c r="L1023"/>
      <c r="M1023"/>
      <c r="N1023"/>
      <c r="O1023"/>
      <c r="P1023"/>
      <c r="Q1023"/>
      <c r="R1023">
        <f>HYPERLINK("https://www.indeed.com/viewjob?jk=87a353ed931b6274","https://www.indeed.com/viewjob?jk=87a353ed931b6274")</f>
      </c>
    </row>
    <row r="1024">
      <c r="A1024" t="inlineStr">
        <is>
          <t>Cotiviti</t>
        </is>
      </c>
      <c r="B1024" t="inlineStr">
        <is>
          <t>2026-04-01 13:11:06</t>
        </is>
      </c>
      <c r="C1024" t="inlineStr">
        <is>
          <t>69cd5fbacfdc6132f9417f65</t>
        </is>
      </c>
      <c r="D1024" t="inlineStr">
        <is>
          <t>Senior Generative AI Scientist I</t>
        </is>
      </c>
      <c r="E1024" t="inlineStr">
        <is>
          <t>1_Discovered</t>
        </is>
      </c>
      <c r="F1024" t="inlineStr">
        <is>
          <t>fanout_batch</t>
        </is>
      </c>
      <c r="G1024" t="inlineStr">
        <is>
          <t>retarget</t>
        </is>
      </c>
      <c r="H1024" t="inlineStr">
        <is>
          <t>seed_h2o_ai_engineer</t>
        </is>
      </c>
      <c r="I1024" t="inlineStr">
        <is>
          <t>H2O AI Engineer</t>
        </is>
      </c>
      <c r="J1024"/>
      <c r="K1024"/>
      <c r="L1024"/>
      <c r="M1024"/>
      <c r="N1024">
        <v>94.0</v>
      </c>
      <c r="O1024" t="inlineStr">
        <is>
          <t>pass</t>
        </is>
      </c>
      <c r="P1024">
        <f>HYPERLINK("file:///Users/jingyizhang/Documents/Playground/projects/local_job_resume_pipeline/data/deliverables/resume_portfolio/by_company/cotiviti/2026-04-01/69cd5fbacfdc6132f9417f65/resume.md","/Users/jingyizhang/Documents/Playground/projects/local_job_resume_pipeline/data/deliverables/resume_portfolio/by_company/cotiviti/2026-04-01/69cd5fbacfdc6132f9417f65/resume.md")</f>
      </c>
      <c r="Q1024"/>
      <c r="R1024">
        <f>HYPERLINK("https://careers-cotiviti.icims.com/jobs/18714/senior-generative-ai-scientist-i/job?in_iframe=1&amp;mode=apply&amp;iis=LinkedIn","https://careers-cotiviti.icims.com/jobs/18714/senior-generative-ai-scientist-i/job?in_iframe=1&amp;mode=apply&amp;iis=LinkedIn")</f>
      </c>
    </row>
    <row r="1025">
      <c r="A1025" t="inlineStr">
        <is>
          <t>GitHub</t>
        </is>
      </c>
      <c r="B1025" t="inlineStr">
        <is>
          <t>2026-04-01 13:09:37</t>
        </is>
      </c>
      <c r="C1025" t="inlineStr">
        <is>
          <t>69b0af71dfaeda6ff59b045b</t>
        </is>
      </c>
      <c r="D1025" t="inlineStr">
        <is>
          <t>Senior Software Engineer</t>
        </is>
      </c>
      <c r="E1025" t="inlineStr">
        <is>
          <t>1_Discovered</t>
        </is>
      </c>
      <c r="F1025" t="inlineStr">
        <is>
          <t>fanout_batch</t>
        </is>
      </c>
      <c r="G1025" t="inlineStr">
        <is>
          <t>retarget</t>
        </is>
      </c>
      <c r="H1025" t="inlineStr">
        <is>
          <t>seed_microsoft_coreai_platform_anchor</t>
        </is>
      </c>
      <c r="I1025" t="inlineStr">
        <is>
          <t>Microsoft CoreAI/BIC Platform Anchor</t>
        </is>
      </c>
      <c r="J1025"/>
      <c r="K1025"/>
      <c r="L1025"/>
      <c r="M1025"/>
      <c r="N1025">
        <v>96.7</v>
      </c>
      <c r="O1025" t="inlineStr">
        <is>
          <t>pass</t>
        </is>
      </c>
      <c r="P1025">
        <f>HYPERLINK("file:///Users/jingyizhang/Documents/Playground/projects/local_job_resume_pipeline/data/deliverables/resume_portfolio/by_company/github/2026-04-01/69b0af71dfaeda6ff59b045b/resume.md","/Users/jingyizhang/Documents/Playground/projects/local_job_resume_pipeline/data/deliverables/resume_portfolio/by_company/github/2026-04-01/69b0af71dfaeda6ff59b045b/resume.md")</f>
      </c>
      <c r="Q1025"/>
      <c r="R1025">
        <f>HYPERLINK("https://githubinc.jibeapply.com/jobs/5084?lang=en-us&amp;iis=Job+Board&amp;iisn=LinkedIn&amp;lever-source=LinkedinPosting","https://githubinc.jibeapply.com/jobs/5084?lang=en-us&amp;iis=Job+Board&amp;iisn=LinkedIn&amp;lever-source=LinkedinPosting")</f>
      </c>
    </row>
    <row r="1026">
      <c r="A1026" t="inlineStr">
        <is>
          <t>Lendbuzz</t>
        </is>
      </c>
      <c r="B1026" t="inlineStr">
        <is>
          <t>2026-04-01 12:54:54</t>
        </is>
      </c>
      <c r="C1026" t="inlineStr">
        <is>
          <t>69b18acb65de58104c70997c</t>
        </is>
      </c>
      <c r="D1026" t="inlineStr">
        <is>
          <t>Software Engineer (Machine Learning - LLMs)</t>
        </is>
      </c>
      <c r="E1026" t="inlineStr">
        <is>
          <t>1_Discovered</t>
        </is>
      </c>
      <c r="F1026" t="inlineStr">
        <is>
          <t>fanout_batch</t>
        </is>
      </c>
      <c r="G1026" t="inlineStr">
        <is>
          <t>retarget</t>
        </is>
      </c>
      <c r="H1026" t="inlineStr">
        <is>
          <t>seed_h2o_ai_engineer</t>
        </is>
      </c>
      <c r="I1026" t="inlineStr">
        <is>
          <t>H2O AI Engineer</t>
        </is>
      </c>
      <c r="J1026"/>
      <c r="K1026"/>
      <c r="L1026"/>
      <c r="M1026"/>
      <c r="N1026">
        <v>93.7</v>
      </c>
      <c r="O1026" t="inlineStr">
        <is>
          <t>pass</t>
        </is>
      </c>
      <c r="P1026">
        <f>HYPERLINK("file:///Users/jingyizhang/Documents/Playground/projects/local_job_resume_pipeline/data/deliverables/resume_portfolio/by_company/lendbuzz/2026-04-01/69b18acb65de58104c70997c/resume.md","/Users/jingyizhang/Documents/Playground/projects/local_job_resume_pipeline/data/deliverables/resume_portfolio/by_company/lendbuzz/2026-04-01/69b18acb65de58104c70997c/resume.md")</f>
      </c>
      <c r="Q1026"/>
      <c r="R1026">
        <f>HYPERLINK("https://jobs.lever.co/lendbuzz/492d25b7-45e7-4ccb-9ba9-c2dab3812fd0/apply?lever-source=jobright&amp;source=jobright&amp;lever-origin=applied&amp;lever-source%255B%255D=LinkedIn&amp;_pc=193155","https://jobs.lever.co/lendbuzz/492d25b7-45e7-4ccb-9ba9-c2dab3812fd0/apply?lever-source=jobright&amp;source=jobright&amp;lever-origin=applied&amp;lever-source%255B%255D=LinkedIn&amp;_pc=193155")</f>
      </c>
    </row>
    <row r="1027">
      <c r="A1027" t="inlineStr">
        <is>
          <t>USI Insurance Services</t>
        </is>
      </c>
      <c r="B1027" t="inlineStr">
        <is>
          <t>2026-04-01 12:36:29</t>
        </is>
      </c>
      <c r="C1027" t="inlineStr">
        <is>
          <t>69163c04286ccf0a151339f6</t>
        </is>
      </c>
      <c r="D1027" t="inlineStr">
        <is>
          <t>Sr Software Engineer</t>
        </is>
      </c>
      <c r="E1027" t="inlineStr">
        <is>
          <t>1_Discovered</t>
        </is>
      </c>
      <c r="F1027" t="inlineStr">
        <is>
          <t>fanout_batch</t>
        </is>
      </c>
      <c r="G1027" t="inlineStr">
        <is>
          <t>retarget</t>
        </is>
      </c>
      <c r="H1027" t="inlineStr">
        <is>
          <t>seed_generalist_dotnet_enterprise</t>
        </is>
      </c>
      <c r="I1027" t="inlineStr">
        <is>
          <t>Generalist DotNet Enterprise</t>
        </is>
      </c>
      <c r="J1027"/>
      <c r="K1027"/>
      <c r="L1027"/>
      <c r="M1027"/>
      <c r="N1027">
        <v>93.9</v>
      </c>
      <c r="O1027" t="inlineStr">
        <is>
          <t>pass</t>
        </is>
      </c>
      <c r="P1027">
        <f>HYPERLINK("file:///Users/jingyizhang/Documents/Playground/projects/local_job_resume_pipeline/data/deliverables/resume_portfolio/by_company/usi-insurance-services/2026-04-01/69163c04286ccf0a151339f6/resume.md","/Users/jingyizhang/Documents/Playground/projects/local_job_resume_pipeline/data/deliverables/resume_portfolio/by_company/usi-insurance-services/2026-04-01/69163c04286ccf0a151339f6/resume.md")</f>
      </c>
      <c r="Q1027"/>
      <c r="R1027">
        <f>HYPERLINK("https://jobs.usi.com/Jobs/JobDetail?jobId=29467&amp;src=LinkedIn","https://jobs.usi.com/Jobs/JobDetail?jobId=29467&amp;src=LinkedIn")</f>
      </c>
    </row>
    <row r="1028">
      <c r="A1028" t="inlineStr">
        <is>
          <t>Goldman Sachs</t>
        </is>
      </c>
      <c r="B1028" t="inlineStr">
        <is>
          <t>2026-04-01 12:24:47</t>
        </is>
      </c>
      <c r="C1028" t="inlineStr">
        <is>
          <t>69cd54dfcfdc6132f9417a9c</t>
        </is>
      </c>
      <c r="D1028" t="inlineStr">
        <is>
          <t>AMD Public-Salt Lake City-Associate-Software Engineering</t>
        </is>
      </c>
      <c r="E1028" t="inlineStr">
        <is>
          <t>1_Discovered</t>
        </is>
      </c>
      <c r="F1028" t="inlineStr">
        <is>
          <t>fanout_batch</t>
        </is>
      </c>
      <c r="G1028" t="inlineStr">
        <is>
          <t>reuse</t>
        </is>
      </c>
      <c r="H1028" t="inlineStr">
        <is>
          <t>seed_paypal_java_backend</t>
        </is>
      </c>
      <c r="I1028" t="inlineStr">
        <is>
          <t>PayPal Java Backend</t>
        </is>
      </c>
      <c r="J1028"/>
      <c r="K1028"/>
      <c r="L1028"/>
      <c r="M1028"/>
      <c r="N1028"/>
      <c r="O1028"/>
      <c r="P1028"/>
      <c r="Q1028"/>
      <c r="R1028">
        <f>HYPERLINK("https://hdpc.fa.us2.oraclecloud.com/hcmUI/CandidateExperience/en/job/165597/?utm_medium=jobshare&amp;mode=job&amp;iis=LinkedIn","https://hdpc.fa.us2.oraclecloud.com/hcmUI/CandidateExperience/en/job/165597/?utm_medium=jobshare&amp;mode=job&amp;iis=LinkedIn")</f>
      </c>
    </row>
    <row r="1029">
      <c r="A1029" t="inlineStr">
        <is>
          <t>Otter.ai</t>
        </is>
      </c>
      <c r="B1029" t="inlineStr">
        <is>
          <t>2026-04-01 11:46:07</t>
        </is>
      </c>
      <c r="C1029" t="inlineStr">
        <is>
          <t>69c32005ec22f8310ab14411</t>
        </is>
      </c>
      <c r="D1029" t="inlineStr">
        <is>
          <t>Machine Learning Engineer</t>
        </is>
      </c>
      <c r="E1029" t="inlineStr">
        <is>
          <t>1_Discovered</t>
        </is>
      </c>
      <c r="F1029" t="inlineStr">
        <is>
          <t>fanout_batch</t>
        </is>
      </c>
      <c r="G1029" t="inlineStr">
        <is>
          <t>reuse</t>
        </is>
      </c>
      <c r="H1029" t="inlineStr">
        <is>
          <t>seed_linkedin_mle_foundation</t>
        </is>
      </c>
      <c r="I1029" t="inlineStr">
        <is>
          <t>LinkedIn MLE Foundation</t>
        </is>
      </c>
      <c r="J1029"/>
      <c r="K1029"/>
      <c r="L1029"/>
      <c r="M1029"/>
      <c r="N1029"/>
      <c r="O1029"/>
      <c r="P1029"/>
      <c r="Q1029"/>
      <c r="R1029">
        <f>HYPERLINK("https://boards.greenhouse.io/embed/job_app?token=7634875003&amp;utm_source=jobright","https://boards.greenhouse.io/embed/job_app?token=7634875003&amp;utm_source=jobright")</f>
      </c>
    </row>
    <row r="1030">
      <c r="A1030" t="inlineStr">
        <is>
          <t>AIG</t>
        </is>
      </c>
      <c r="B1030" t="inlineStr">
        <is>
          <t>2026-04-01 11:18:48</t>
        </is>
      </c>
      <c r="C1030" t="inlineStr">
        <is>
          <t>699397fece78e77b4fd76a48</t>
        </is>
      </c>
      <c r="D1030" t="inlineStr">
        <is>
          <t>Full-Stack Software Engineer - GenAI</t>
        </is>
      </c>
      <c r="E1030" t="inlineStr">
        <is>
          <t>1_Discovered</t>
        </is>
      </c>
      <c r="F1030" t="inlineStr">
        <is>
          <t>fanout_batch</t>
        </is>
      </c>
      <c r="G1030" t="inlineStr">
        <is>
          <t>retarget</t>
        </is>
      </c>
      <c r="H1030" t="inlineStr">
        <is>
          <t>seed_fullstack_dotnet_azure</t>
        </is>
      </c>
      <c r="I1030" t="inlineStr">
        <is>
          <t>Fullstack DotNet Azure</t>
        </is>
      </c>
      <c r="J1030"/>
      <c r="K1030"/>
      <c r="L1030"/>
      <c r="M1030"/>
      <c r="N1030">
        <v>95.9</v>
      </c>
      <c r="O1030" t="inlineStr">
        <is>
          <t>pass</t>
        </is>
      </c>
      <c r="P1030">
        <f>HYPERLINK("file:///Users/jingyizhang/Documents/Playground/projects/local_job_resume_pipeline/data/deliverables/resume_portfolio/by_company/aig/2026-04-01/699397fece78e77b4fd76a48/resume.md","/Users/jingyizhang/Documents/Playground/projects/local_job_resume_pipeline/data/deliverables/resume_portfolio/by_company/aig/2026-04-01/699397fece78e77b4fd76a48/resume.md")</f>
      </c>
      <c r="Q1030"/>
      <c r="R1030">
        <f>HYPERLINK("https://aig.wd1.myworkdayjobs.com/aig/job/GA-Atlanta/Full-Stack-Software-Engineer---GenAI_JR2600811?source=LinkedIn","https://aig.wd1.myworkdayjobs.com/aig/job/GA-Atlanta/Full-Stack-Software-Engineer---GenAI_JR2600811?source=LinkedIn")</f>
      </c>
    </row>
    <row r="1031">
      <c r="A1031" t="inlineStr">
        <is>
          <t>Expedia Group</t>
        </is>
      </c>
      <c r="B1031" t="inlineStr">
        <is>
          <t>2026-04-01 10:42:46</t>
        </is>
      </c>
      <c r="C1031" t="inlineStr">
        <is>
          <t>69cd69fe398fb071abf74d99</t>
        </is>
      </c>
      <c r="D1031" t="inlineStr">
        <is>
          <t>Machine Learning Scientist II (Multi-Product AI)   </t>
        </is>
      </c>
      <c r="E1031" t="inlineStr">
        <is>
          <t>1_Discovered</t>
        </is>
      </c>
      <c r="F1031" t="inlineStr">
        <is>
          <t>fanout_batch</t>
        </is>
      </c>
      <c r="G1031" t="inlineStr">
        <is>
          <t>reuse</t>
        </is>
      </c>
      <c r="H1031" t="inlineStr">
        <is>
          <t>seed_bytedance_ml_grad</t>
        </is>
      </c>
      <c r="I1031" t="inlineStr">
        <is>
          <t>ByteDance ML Grad</t>
        </is>
      </c>
      <c r="J1031"/>
      <c r="K1031"/>
      <c r="L1031"/>
      <c r="M1031"/>
      <c r="N1031"/>
      <c r="O1031"/>
      <c r="P1031"/>
      <c r="Q1031"/>
      <c r="R1031">
        <f>HYPERLINK("https://www.linkedin.com/jobs/view/4393011217","https://www.linkedin.com/jobs/view/4393011217")</f>
      </c>
    </row>
    <row r="1032">
      <c r="A1032" t="inlineStr">
        <is>
          <t>Cribl</t>
        </is>
      </c>
      <c r="B1032" t="inlineStr">
        <is>
          <t>2026-04-01 10:24:03</t>
        </is>
      </c>
      <c r="C1032" t="inlineStr">
        <is>
          <t>69b57b5c56973837413ac6e3</t>
        </is>
      </c>
      <c r="D1032" t="inlineStr">
        <is>
          <t>Software Engineer, Stream Integrations</t>
        </is>
      </c>
      <c r="E1032" t="inlineStr">
        <is>
          <t>1_Discovered</t>
        </is>
      </c>
      <c r="F1032" t="inlineStr">
        <is>
          <t>fanout_batch</t>
        </is>
      </c>
      <c r="G1032" t="inlineStr">
        <is>
          <t>retarget</t>
        </is>
      </c>
      <c r="H1032" t="inlineStr">
        <is>
          <t>seed_google_cloud_infra_anchor_candidate</t>
        </is>
      </c>
      <c r="I1032" t="inlineStr">
        <is>
          <t>Google Cloud Infra Anchor</t>
        </is>
      </c>
      <c r="J1032" t="inlineStr">
        <is>
          <t>google_cloud_infra_mainline</t>
        </is>
      </c>
      <c r="K1032" t="inlineStr">
        <is>
          <t>mainline</t>
        </is>
      </c>
      <c r="L1032"/>
      <c r="M1032"/>
      <c r="N1032">
        <v>94.9</v>
      </c>
      <c r="O1032" t="inlineStr">
        <is>
          <t>pass</t>
        </is>
      </c>
      <c r="P1032">
        <f>HYPERLINK("file:///Users/jingyizhang/Documents/Playground/projects/local_job_resume_pipeline/data/deliverables/resume_portfolio/by_company/cribl/2026-04-01/69b57b5c56973837413ac6e3/resume.md","/Users/jingyizhang/Documents/Playground/projects/local_job_resume_pipeline/data/deliverables/resume_portfolio/by_company/cribl/2026-04-01/69b57b5c56973837413ac6e3/resume.md")</f>
      </c>
      <c r="Q1032"/>
      <c r="R1032">
        <f>HYPERLINK("https://boards.greenhouse.io/embed/job_app?token=5819190004&amp;utm_source=jobright","https://boards.greenhouse.io/embed/job_app?token=5819190004&amp;utm_source=jobright")</f>
      </c>
    </row>
    <row r="1033">
      <c r="A1033" t="inlineStr">
        <is>
          <t>Nordstrom</t>
        </is>
      </c>
      <c r="B1033" t="inlineStr">
        <is>
          <t>2026-04-01 10:14:04</t>
        </is>
      </c>
      <c r="C1033" t="inlineStr">
        <is>
          <t>69b0d500749500645097dca8</t>
        </is>
      </c>
      <c r="D1033" t="inlineStr">
        <is>
          <t>Data Scientist - Digital Data Science - Hybrid - Seattle, WA</t>
        </is>
      </c>
      <c r="E1033" t="inlineStr">
        <is>
          <t>1_Discovered</t>
        </is>
      </c>
      <c r="F1033" t="inlineStr">
        <is>
          <t>fanout_batch</t>
        </is>
      </c>
      <c r="G1033" t="inlineStr">
        <is>
          <t>retarget</t>
        </is>
      </c>
      <c r="H1033" t="inlineStr">
        <is>
          <t>seed_bytedance_ml_grad</t>
        </is>
      </c>
      <c r="I1033" t="inlineStr">
        <is>
          <t>ByteDance ML Grad</t>
        </is>
      </c>
      <c r="J1033"/>
      <c r="K1033"/>
      <c r="L1033"/>
      <c r="M1033"/>
      <c r="N1033">
        <v>95.0</v>
      </c>
      <c r="O1033" t="inlineStr">
        <is>
          <t>pass</t>
        </is>
      </c>
      <c r="P1033">
        <f>HYPERLINK("file:///Users/jingyizhang/Documents/Playground/projects/local_job_resume_pipeline/data/deliverables/resume_portfolio/by_company/nordstrom/2026-04-01/69b0d500749500645097dca8/resume.md","/Users/jingyizhang/Documents/Playground/projects/local_job_resume_pipeline/data/deliverables/resume_portfolio/by_company/nordstrom/2026-04-01/69b0d500749500645097dca8/resume.md")</f>
      </c>
      <c r="Q1033"/>
      <c r="R1033">
        <f>HYPERLINK("https://careers.nordstrom.com/data-scientist-digital-data-science-hybrid-seattle-wa/job/52C6B1EA80A29CE0FD8719AD3F21D3B9?source=LinkedIn","https://careers.nordstrom.com/data-scientist-digital-data-science-hybrid-seattle-wa/job/52C6B1EA80A29CE0FD8719AD3F21D3B9?source=LinkedIn")</f>
      </c>
    </row>
    <row r="1034">
      <c r="A1034" t="inlineStr">
        <is>
          <t>Scale AI</t>
        </is>
      </c>
      <c r="B1034" t="inlineStr">
        <is>
          <t>2026-04-01 10:13:55</t>
        </is>
      </c>
      <c r="C1034" t="inlineStr">
        <is>
          <t>68e9e5abcdf8d94b293a2e83</t>
        </is>
      </c>
      <c r="D1034" t="inlineStr">
        <is>
          <t>Software Engineer, Robotics &amp; Autonomous Systems</t>
        </is>
      </c>
      <c r="E1034" t="inlineStr">
        <is>
          <t>1_Discovered</t>
        </is>
      </c>
      <c r="F1034" t="inlineStr">
        <is>
          <t>fanout_batch</t>
        </is>
      </c>
      <c r="G1034" t="inlineStr">
        <is>
          <t>retarget</t>
        </is>
      </c>
      <c r="H1034" t="inlineStr">
        <is>
          <t>seed_egen_fullstack_node</t>
        </is>
      </c>
      <c r="I1034" t="inlineStr">
        <is>
          <t>Egen Fullstack Node</t>
        </is>
      </c>
      <c r="J1034"/>
      <c r="K1034"/>
      <c r="L1034"/>
      <c r="M1034"/>
      <c r="N1034">
        <v>93.3</v>
      </c>
      <c r="O1034" t="inlineStr">
        <is>
          <t>pass</t>
        </is>
      </c>
      <c r="P1034">
        <f>HYPERLINK("file:///Users/jingyizhang/Documents/Playground/projects/local_job_resume_pipeline/data/deliverables/resume_portfolio/by_company/scale-ai/2026-04-01/68e9e5abcdf8d94b293a2e83/resume.md","/Users/jingyizhang/Documents/Playground/projects/local_job_resume_pipeline/data/deliverables/resume_portfolio/by_company/scale-ai/2026-04-01/68e9e5abcdf8d94b293a2e83/resume.md")</f>
      </c>
      <c r="Q1034"/>
      <c r="R1034">
        <f>HYPERLINK("https://boards.greenhouse.io/embed/job_app?token=4618065005&amp;utm_source=jobright","https://boards.greenhouse.io/embed/job_app?token=4618065005&amp;utm_source=jobright")</f>
      </c>
    </row>
    <row r="1035">
      <c r="A1035" t="inlineStr">
        <is>
          <t>Amazon</t>
        </is>
      </c>
      <c r="B1035" t="inlineStr">
        <is>
          <t>2026-04-01 10:12:47</t>
        </is>
      </c>
      <c r="C1035" t="inlineStr">
        <is>
          <t>6976813dbc8e722e7b1b1f91</t>
        </is>
      </c>
      <c r="D1035" t="inlineStr">
        <is>
          <t>Software Dev Engineer I, Amazon University Talent Acquisition</t>
        </is>
      </c>
      <c r="E1035" t="inlineStr">
        <is>
          <t>1_Discovered</t>
        </is>
      </c>
      <c r="F1035" t="inlineStr">
        <is>
          <t>fanout_batch</t>
        </is>
      </c>
      <c r="G1035" t="inlineStr">
        <is>
          <t>retarget</t>
        </is>
      </c>
      <c r="H1035" t="inlineStr">
        <is>
          <t>seed_paypal_java_backend</t>
        </is>
      </c>
      <c r="I1035" t="inlineStr">
        <is>
          <t>PayPal Java Backend</t>
        </is>
      </c>
      <c r="J1035"/>
      <c r="K1035"/>
      <c r="L1035"/>
      <c r="M1035"/>
      <c r="N1035">
        <v>93.9</v>
      </c>
      <c r="O1035" t="inlineStr">
        <is>
          <t>pass</t>
        </is>
      </c>
      <c r="P1035">
        <f>HYPERLINK("file:///Users/jingyizhang/Documents/Playground/projects/local_job_resume_pipeline/data/deliverables/resume_portfolio/by_company/amazon/2026-04-01/6976813dbc8e722e7b1b1f91/resume.md","/Users/jingyizhang/Documents/Playground/projects/local_job_resume_pipeline/data/deliverables/resume_portfolio/by_company/amazon/2026-04-01/6976813dbc8e722e7b1b1f91/resume.md")</f>
      </c>
      <c r="Q1035"/>
      <c r="R1035">
        <f>HYPERLINK("https://www.amazon.jobs/jobs/3153514/software-dev-engineer-i-amazon-university-talent-acquisition?cmpid=SPLICX0248M&amp;utm_source=linkedin.com&amp;utm_campaign=cxro&amp;utm_medium=social_media&amp;utm_content=job_posting&amp;ss=paid","https://www.amazon.jobs/jobs/3153514/software-dev-engineer-i-amazon-university-talent-acquisition?cmpid=SPLICX0248M&amp;utm_source=linkedin.com&amp;utm_campaign=cxro&amp;utm_medium=social_media&amp;utm_content=job_posting&amp;ss=paid")</f>
      </c>
    </row>
    <row r="1036">
      <c r="A1036" t="inlineStr">
        <is>
          <t>Qualcomm</t>
        </is>
      </c>
      <c r="B1036" t="inlineStr">
        <is>
          <t>2026-04-01 09:50:36</t>
        </is>
      </c>
      <c r="C1036" t="inlineStr">
        <is>
          <t>69cd30bc398fb071abf72f55</t>
        </is>
      </c>
      <c r="D1036" t="inlineStr">
        <is>
          <t>Sr Engineer, Machine Learning Engineering (ML Apps)</t>
        </is>
      </c>
      <c r="E1036" t="inlineStr">
        <is>
          <t>1_Discovered</t>
        </is>
      </c>
      <c r="F1036" t="inlineStr">
        <is>
          <t>fanout_batch</t>
        </is>
      </c>
      <c r="G1036" t="inlineStr">
        <is>
          <t>retarget</t>
        </is>
      </c>
      <c r="H1036" t="inlineStr">
        <is>
          <t>seed_amazon_agi_ml_anchor</t>
        </is>
      </c>
      <c r="I1036" t="inlineStr">
        <is>
          <t>Amazon AGI/LLM Anchor</t>
        </is>
      </c>
      <c r="J1036" t="inlineStr">
        <is>
          <t>amazon_ai_ads_mainline</t>
        </is>
      </c>
      <c r="K1036" t="inlineStr">
        <is>
          <t>mainline</t>
        </is>
      </c>
      <c r="L1036"/>
      <c r="M1036"/>
      <c r="N1036">
        <v>93.7</v>
      </c>
      <c r="O1036" t="inlineStr">
        <is>
          <t>pass</t>
        </is>
      </c>
      <c r="P1036">
        <f>HYPERLINK("file:///Users/jingyizhang/Documents/Playground/projects/local_job_resume_pipeline/data/deliverables/resume_portfolio/by_company/qualcomm/2026-04-01/69cd30bc398fb071abf72f55/resume.md","/Users/jingyizhang/Documents/Playground/projects/local_job_resume_pipeline/data/deliverables/resume_portfolio/by_company/qualcomm/2026-04-01/69cd30bc398fb071abf72f55/resume.md")</f>
      </c>
      <c r="Q1036"/>
      <c r="R1036">
        <f>HYPERLINK("https://careers.qualcomm.com/careers/job/446716946988?hl=en-US&amp;utm_source=linkedin&amp;domain=qualcomm.com&amp;source=APPLICANT_SOURCE-6-2","https://careers.qualcomm.com/careers/job/446716946988?hl=en-US&amp;utm_source=linkedin&amp;domain=qualcomm.com&amp;source=APPLICANT_SOURCE-6-2")</f>
      </c>
    </row>
    <row r="1037">
      <c r="A1037" t="inlineStr">
        <is>
          <t>Qualcomm</t>
        </is>
      </c>
      <c r="B1037" t="inlineStr">
        <is>
          <t>2026-04-01 09:17:12</t>
        </is>
      </c>
      <c r="C1037" t="inlineStr">
        <is>
          <t>69cd28e8891d7b11cfcb64a2</t>
        </is>
      </c>
      <c r="D1037" t="inlineStr">
        <is>
          <t>Machine Learning Engineer - Generative AI</t>
        </is>
      </c>
      <c r="E1037" t="inlineStr">
        <is>
          <t>1_Discovered</t>
        </is>
      </c>
      <c r="F1037" t="inlineStr">
        <is>
          <t>fanout_batch</t>
        </is>
      </c>
      <c r="G1037" t="inlineStr">
        <is>
          <t>retarget</t>
        </is>
      </c>
      <c r="H1037" t="inlineStr">
        <is>
          <t>seed_h2o_ai_engineer</t>
        </is>
      </c>
      <c r="I1037" t="inlineStr">
        <is>
          <t>H2O AI Engineer</t>
        </is>
      </c>
      <c r="J1037"/>
      <c r="K1037"/>
      <c r="L1037"/>
      <c r="M1037"/>
      <c r="N1037">
        <v>93.8</v>
      </c>
      <c r="O1037" t="inlineStr">
        <is>
          <t>pass</t>
        </is>
      </c>
      <c r="P1037">
        <f>HYPERLINK("file:///Users/jingyizhang/Documents/Playground/projects/local_job_resume_pipeline/data/deliverables/resume_portfolio/by_company/qualcomm/2026-04-01/69cd28e8891d7b11cfcb64a2/resume.md","/Users/jingyizhang/Documents/Playground/projects/local_job_resume_pipeline/data/deliverables/resume_portfolio/by_company/qualcomm/2026-04-01/69cd28e8891d7b11cfcb64a2/resume.md")</f>
      </c>
      <c r="Q1037"/>
      <c r="R1037">
        <f>HYPERLINK("https://careers.qualcomm.com/careers/job/446717752386?hl=en-US&amp;utm_source=linkedin&amp;domain=qualcomm.com&amp;source=APPLICANT_SOURCE-6-2","https://careers.qualcomm.com/careers/job/446717752386?hl=en-US&amp;utm_source=linkedin&amp;domain=qualcomm.com&amp;source=APPLICANT_SOURCE-6-2")</f>
      </c>
    </row>
    <row r="1038">
      <c r="A1038" t="inlineStr">
        <is>
          <t>Workday</t>
        </is>
      </c>
      <c r="B1038" t="inlineStr">
        <is>
          <t>2026-04-01 09:15:32</t>
        </is>
      </c>
      <c r="C1038" t="inlineStr">
        <is>
          <t>69ce811acfdc6132f9428f33</t>
        </is>
      </c>
      <c r="D1038" t="inlineStr">
        <is>
          <t>Machine Learning Engineer III</t>
        </is>
      </c>
      <c r="E1038" t="inlineStr">
        <is>
          <t>1_Discovered</t>
        </is>
      </c>
      <c r="F1038" t="inlineStr">
        <is>
          <t>fanout_batch</t>
        </is>
      </c>
      <c r="G1038" t="inlineStr">
        <is>
          <t>retarget</t>
        </is>
      </c>
      <c r="H1038" t="inlineStr">
        <is>
          <t>seed_bytedance_ml_grad</t>
        </is>
      </c>
      <c r="I1038" t="inlineStr">
        <is>
          <t>ByteDance ML Grad</t>
        </is>
      </c>
      <c r="J1038"/>
      <c r="K1038"/>
      <c r="L1038"/>
      <c r="M1038"/>
      <c r="N1038">
        <v>93.7</v>
      </c>
      <c r="O1038" t="inlineStr">
        <is>
          <t>pass</t>
        </is>
      </c>
      <c r="P1038">
        <f>HYPERLINK("file:///Users/jingyizhang/Documents/Playground/projects/local_job_resume_pipeline/data/deliverables/resume_portfolio/by_company/workday/2026-04-01/69ce811acfdc6132f9428f33/resume.md","/Users/jingyizhang/Documents/Playground/projects/local_job_resume_pipeline/data/deliverables/resume_portfolio/by_company/workday/2026-04-01/69ce811acfdc6132f9428f33/resume.md")</f>
      </c>
      <c r="Q1038"/>
      <c r="R1038">
        <f>HYPERLINK("https://workday.wd5.myworkdayjobs.com/Workday/job/USA-CO-Boulder/Machine-Learning-Engineer_JR-0104464?source=website_linkedin","https://workday.wd5.myworkdayjobs.com/Workday/job/USA-CO-Boulder/Machine-Learning-Engineer_JR-0104464?source=website_linkedin")</f>
      </c>
    </row>
    <row r="1039">
      <c r="A1039" t="inlineStr">
        <is>
          <t>Pure Storage</t>
        </is>
      </c>
      <c r="B1039" t="inlineStr">
        <is>
          <t>2026-04-01 09:10:18</t>
        </is>
      </c>
      <c r="C1039" t="inlineStr">
        <is>
          <t>68b0f6cce815524ae11fa204</t>
        </is>
      </c>
      <c r="D1039" t="inlineStr">
        <is>
          <t>Software Engineer</t>
        </is>
      </c>
      <c r="E1039" t="inlineStr">
        <is>
          <t>1_Discovered</t>
        </is>
      </c>
      <c r="F1039" t="inlineStr">
        <is>
          <t>fanout_batch</t>
        </is>
      </c>
      <c r="G1039" t="inlineStr">
        <is>
          <t>retarget</t>
        </is>
      </c>
      <c r="H1039" t="inlineStr">
        <is>
          <t>seed_aws_support_backend_anchor</t>
        </is>
      </c>
      <c r="I1039" t="inlineStr">
        <is>
          <t>AWS Support Backend Anchor</t>
        </is>
      </c>
      <c r="J1039"/>
      <c r="K1039"/>
      <c r="L1039"/>
      <c r="M1039"/>
      <c r="N1039">
        <v>93.7</v>
      </c>
      <c r="O1039" t="inlineStr">
        <is>
          <t>pass</t>
        </is>
      </c>
      <c r="P1039">
        <f>HYPERLINK("file:///Users/jingyizhang/Documents/Playground/projects/local_job_resume_pipeline/data/deliverables/resume_portfolio/by_company/pure-storage/2026-04-01/68b0f6cce815524ae11fa204/resume.md","/Users/jingyizhang/Documents/Playground/projects/local_job_resume_pipeline/data/deliverables/resume_portfolio/by_company/pure-storage/2026-04-01/68b0f6cce815524ae11fa204/resume.md")</f>
      </c>
      <c r="Q1039"/>
      <c r="R1039">
        <f>HYPERLINK("https://boards.greenhouse.io/embed/job_app?token=7206456&amp;utm_source=jobright","https://boards.greenhouse.io/embed/job_app?token=7206456&amp;utm_source=jobright")</f>
      </c>
    </row>
    <row r="1040">
      <c r="A1040" t="inlineStr">
        <is>
          <t>Tyler Technologies</t>
        </is>
      </c>
      <c r="B1040" t="inlineStr">
        <is>
          <t>2026-04-01 09:07:34</t>
        </is>
      </c>
      <c r="C1040" t="inlineStr">
        <is>
          <t>69b0a1170b2db6275c04e6f9</t>
        </is>
      </c>
      <c r="D1040" t="inlineStr">
        <is>
          <t>Associate Software Engineer</t>
        </is>
      </c>
      <c r="E1040" t="inlineStr">
        <is>
          <t>1_Discovered</t>
        </is>
      </c>
      <c r="F1040" t="inlineStr">
        <is>
          <t>fanout_batch</t>
        </is>
      </c>
      <c r="G1040" t="inlineStr">
        <is>
          <t>retarget</t>
        </is>
      </c>
      <c r="H1040" t="inlineStr">
        <is>
          <t>seed_generalist_dotnet_enterprise</t>
        </is>
      </c>
      <c r="I1040" t="inlineStr">
        <is>
          <t>Generalist DotNet Enterprise</t>
        </is>
      </c>
      <c r="J1040"/>
      <c r="K1040"/>
      <c r="L1040"/>
      <c r="M1040"/>
      <c r="N1040">
        <v>96.2</v>
      </c>
      <c r="O1040" t="inlineStr">
        <is>
          <t>pass</t>
        </is>
      </c>
      <c r="P1040">
        <f>HYPERLINK("file:///Users/jingyizhang/Documents/Playground/projects/local_job_resume_pipeline/data/deliverables/resume_portfolio/by_company/tyler-technologies/2026-04-01/69b0a1170b2db6275c04e6f9/resume.md","/Users/jingyizhang/Documents/Playground/projects/local_job_resume_pipeline/data/deliverables/resume_portfolio/by_company/tyler-technologies/2026-04-01/69b0a1170b2db6275c04e6f9/resume.md")</f>
      </c>
      <c r="Q1040"/>
      <c r="R1040">
        <f>HYPERLINK("https://jobs.jobvite.com/tylertech/job/o8NHzfwV?__jvst=Job+Board&amp;__jvsd=LinkedIn","https://jobs.jobvite.com/tylertech/job/o8NHzfwV?__jvst=Job+Board&amp;__jvsd=LinkedIn")</f>
      </c>
    </row>
    <row r="1041">
      <c r="A1041" t="inlineStr">
        <is>
          <t>Uber</t>
        </is>
      </c>
      <c r="B1041" t="inlineStr">
        <is>
          <t>2026-04-01 07:51:35</t>
        </is>
      </c>
      <c r="C1041" t="inlineStr">
        <is>
          <t>69c17ab479e36d3a847e3bb1</t>
        </is>
      </c>
      <c r="D1041" t="inlineStr">
        <is>
          <t>Software Engineer II - Grocery &amp; Retail</t>
        </is>
      </c>
      <c r="E1041" t="inlineStr">
        <is>
          <t>1_Discovered</t>
        </is>
      </c>
      <c r="F1041" t="inlineStr">
        <is>
          <t>retarget_trial</t>
        </is>
      </c>
      <c r="G1041" t="inlineStr">
        <is>
          <t>reuse</t>
        </is>
      </c>
      <c r="H1041" t="inlineStr">
        <is>
          <t>candidate_aws_generalist_embedded</t>
        </is>
      </c>
      <c r="I1041" t="inlineStr">
        <is>
          <t>AWS Generalist Embedded</t>
        </is>
      </c>
      <c r="J1041"/>
      <c r="K1041"/>
      <c r="L1041"/>
      <c r="M1041"/>
      <c r="N1041"/>
      <c r="O1041"/>
      <c r="P1041"/>
      <c r="Q1041"/>
      <c r="R1041">
        <f>HYPERLINK("https://tnl2.jometer.com/v2/job?jz=5wqzs98ab76aa9adf43be743ca79443f70821KMALBBQAAADQ&amp;iis=Job%20Board%20-%20Recruitment%20Marketing&amp;iisn=LinkedIn","https://tnl2.jometer.com/v2/job?jz=5wqzs98ab76aa9adf43be743ca79443f70821KMALBBQAAADQ&amp;iis=Job%20Board%20-%20Recruitment%20Marketing&amp;iisn=LinkedIn")</f>
      </c>
    </row>
    <row r="1042">
      <c r="A1042" t="inlineStr">
        <is>
          <t>Guidewire Software</t>
        </is>
      </c>
      <c r="B1042" t="inlineStr">
        <is>
          <t>2026-04-01 07:38:52</t>
        </is>
      </c>
      <c r="C1042" t="inlineStr">
        <is>
          <t>698476168da7a612045ea411</t>
        </is>
      </c>
      <c r="D1042" t="inlineStr">
        <is>
          <t>Software Engineer III - AI Services</t>
        </is>
      </c>
      <c r="E1042" t="inlineStr">
        <is>
          <t>1_Discovered</t>
        </is>
      </c>
      <c r="F1042" t="inlineStr">
        <is>
          <t>fanout_batch</t>
        </is>
      </c>
      <c r="G1042" t="inlineStr">
        <is>
          <t>reuse</t>
        </is>
      </c>
      <c r="H1042" t="inlineStr">
        <is>
          <t>seed_microsoft_polyglot_generalist</t>
        </is>
      </c>
      <c r="I1042" t="inlineStr">
        <is>
          <t>Microsoft Polyglot Generalist</t>
        </is>
      </c>
      <c r="J1042"/>
      <c r="K1042"/>
      <c r="L1042"/>
      <c r="M1042"/>
      <c r="N1042"/>
      <c r="O1042"/>
      <c r="P1042"/>
      <c r="Q1042"/>
      <c r="R1042">
        <f>HYPERLINK("https://guidewire.wd5.myworkdayjobs.com/external/job/United-States---San-Mateo-CA/Software-Engineer-III---AI-Services_JR_14271?source=LinkedIn","https://guidewire.wd5.myworkdayjobs.com/external/job/United-States---San-Mateo-CA/Software-Engineer-III---AI-Services_JR_14271?source=LinkedIn")</f>
      </c>
    </row>
    <row r="1043">
      <c r="A1043" t="inlineStr">
        <is>
          <t>Klaviyo</t>
        </is>
      </c>
      <c r="B1043" t="inlineStr">
        <is>
          <t>2026-04-01 07:13:26</t>
        </is>
      </c>
      <c r="C1043" t="inlineStr">
        <is>
          <t>69b085680b2db6275c049f13</t>
        </is>
      </c>
      <c r="D1043" t="inlineStr">
        <is>
          <t>Software Engineer II - Flows Platform</t>
        </is>
      </c>
      <c r="E1043" t="inlineStr">
        <is>
          <t>1_Discovered</t>
        </is>
      </c>
      <c r="F1043" t="inlineStr">
        <is>
          <t>fanout_batch</t>
        </is>
      </c>
      <c r="G1043" t="inlineStr">
        <is>
          <t>retarget</t>
        </is>
      </c>
      <c r="H1043" t="inlineStr">
        <is>
          <t>seed_google_cloud_infra_anchor_candidate</t>
        </is>
      </c>
      <c r="I1043" t="inlineStr">
        <is>
          <t>Google Cloud Infra Anchor</t>
        </is>
      </c>
      <c r="J1043" t="inlineStr">
        <is>
          <t>google_cloud_infra_mainline</t>
        </is>
      </c>
      <c r="K1043" t="inlineStr">
        <is>
          <t>mainline</t>
        </is>
      </c>
      <c r="L1043"/>
      <c r="M1043"/>
      <c r="N1043">
        <v>83.9</v>
      </c>
      <c r="O1043" t="inlineStr">
        <is>
          <t>fail</t>
        </is>
      </c>
      <c r="P1043">
        <f>HYPERLINK("file:///Users/jingyizhang/Documents/Playground/projects/local_job_resume_pipeline/data/deliverables/resume_portfolio/by_company/klaviyo/2026-04-01/69b085680b2db6275c049f13/resume.md","/Users/jingyizhang/Documents/Playground/projects/local_job_resume_pipeline/data/deliverables/resume_portfolio/by_company/klaviyo/2026-04-01/69b085680b2db6275c049f13/resume.md")</f>
      </c>
      <c r="Q1043"/>
      <c r="R1043">
        <f>HYPERLINK("https://boards.greenhouse.io/embed/job_app?token=7651386003&amp;utm_source=jobright","https://boards.greenhouse.io/embed/job_app?token=7651386003&amp;utm_source=jobright")</f>
      </c>
    </row>
    <row r="1044">
      <c r="A1044" t="inlineStr">
        <is>
          <t>Abby Care</t>
        </is>
      </c>
      <c r="B1044" t="inlineStr">
        <is>
          <t>2026-04-01 06:41:39</t>
        </is>
      </c>
      <c r="C1044" t="inlineStr">
        <is>
          <t>695c9dd89a87b95a939806f8</t>
        </is>
      </c>
      <c r="D1044" t="inlineStr">
        <is>
          <t>Software Engineer</t>
        </is>
      </c>
      <c r="E1044" t="inlineStr">
        <is>
          <t>1_Discovered</t>
        </is>
      </c>
      <c r="F1044" t="inlineStr">
        <is>
          <t>fanout_batch</t>
        </is>
      </c>
      <c r="G1044" t="inlineStr">
        <is>
          <t>reuse</t>
        </is>
      </c>
      <c r="H1044" t="inlineStr">
        <is>
          <t>seed_codex_google_fullstack</t>
        </is>
      </c>
      <c r="I1044" t="inlineStr">
        <is>
          <t>Google Full Stack</t>
        </is>
      </c>
      <c r="J1044" t="inlineStr">
        <is>
          <t>google_product_ai_mainline</t>
        </is>
      </c>
      <c r="K1044" t="inlineStr">
        <is>
          <t>mainline</t>
        </is>
      </c>
      <c r="L1044"/>
      <c r="M1044"/>
      <c r="N1044"/>
      <c r="O1044"/>
      <c r="P1044"/>
      <c r="Q1044"/>
      <c r="R1044">
        <f>HYPERLINK("https://jobs.ashbyhq.com/abby-care/ab2eaa3f-f8fc-4c92-be95-6c699598cca2/application?utm_source=LinkedInPosting","https://jobs.ashbyhq.com/abby-care/ab2eaa3f-f8fc-4c92-be95-6c699598cca2/application?utm_source=LinkedInPosting")</f>
      </c>
    </row>
    <row r="1045">
      <c r="A1045" t="inlineStr">
        <is>
          <t>Together AI</t>
        </is>
      </c>
      <c r="B1045" t="inlineStr">
        <is>
          <t>2026-04-01 06:29:39</t>
        </is>
      </c>
      <c r="C1045" t="inlineStr">
        <is>
          <t>69b0758ddfaeda6ff59a4ff9</t>
        </is>
      </c>
      <c r="D1045" t="inlineStr">
        <is>
          <t>Software Engineer - Storage &amp; Observability (Early Career)</t>
        </is>
      </c>
      <c r="E1045" t="inlineStr">
        <is>
          <t>1_Discovered</t>
        </is>
      </c>
      <c r="F1045" t="inlineStr">
        <is>
          <t>fanout_batch</t>
        </is>
      </c>
      <c r="G1045" t="inlineStr">
        <is>
          <t>retarget</t>
        </is>
      </c>
      <c r="H1045" t="inlineStr">
        <is>
          <t>seed_fireblocks_sre_anchor</t>
        </is>
      </c>
      <c r="I1045" t="inlineStr">
        <is>
          <t>Fireblocks SRE Anchor</t>
        </is>
      </c>
      <c r="J1045"/>
      <c r="K1045"/>
      <c r="L1045"/>
      <c r="M1045"/>
      <c r="N1045">
        <v>95.1</v>
      </c>
      <c r="O1045" t="inlineStr">
        <is>
          <t>pass</t>
        </is>
      </c>
      <c r="P1045">
        <f>HYPERLINK("file:///Users/jingyizhang/Documents/Playground/projects/local_job_resume_pipeline/data/deliverables/resume_portfolio/by_company/together-ai/2026-04-01/69b0758ddfaeda6ff59a4ff9/resume.md","/Users/jingyizhang/Documents/Playground/projects/local_job_resume_pipeline/data/deliverables/resume_portfolio/by_company/together-ai/2026-04-01/69b0758ddfaeda6ff59a4ff9/resume.md")</f>
      </c>
      <c r="Q1045"/>
      <c r="R1045">
        <f>HYPERLINK("https://boards.greenhouse.io/embed/job_app?token=5073769007&amp;utm_source=jobright","https://boards.greenhouse.io/embed/job_app?token=5073769007&amp;utm_source=jobright")</f>
      </c>
    </row>
    <row r="1046">
      <c r="A1046" t="inlineStr">
        <is>
          <t>Uber</t>
        </is>
      </c>
      <c r="B1046" t="inlineStr">
        <is>
          <t>2026-04-01 06:04:39</t>
        </is>
      </c>
      <c r="C1046" t="inlineStr">
        <is>
          <t>69ccfbc7366bb95ba54f88b3</t>
        </is>
      </c>
      <c r="D1046" t="inlineStr">
        <is>
          <t>Software Engineer II - Uber Eats</t>
        </is>
      </c>
      <c r="E1046" t="inlineStr">
        <is>
          <t>1_Discovered</t>
        </is>
      </c>
      <c r="F1046" t="inlineStr">
        <is>
          <t>fanout_batch</t>
        </is>
      </c>
      <c r="G1046" t="inlineStr">
        <is>
          <t>reuse</t>
        </is>
      </c>
      <c r="H1046" t="inlineStr">
        <is>
          <t>seed_aws_generalist_embedded</t>
        </is>
      </c>
      <c r="I1046" t="inlineStr">
        <is>
          <t>AWS Generalist Embedded</t>
        </is>
      </c>
      <c r="J1046"/>
      <c r="K1046"/>
      <c r="L1046"/>
      <c r="M1046"/>
      <c r="N1046"/>
      <c r="O1046"/>
      <c r="P1046"/>
      <c r="Q1046"/>
      <c r="R1046">
        <f>HYPERLINK("https://tnl2.jometer.com/v2/job?jz=5wqzsdb1bcdf8c537a17d27aa21ba777abf26KMAGUCAAAABQ&amp;iis=Job%20Board%20-%20Recruitment%20Marketing&amp;iisn=LinkedIn","https://tnl2.jometer.com/v2/job?jz=5wqzsdb1bcdf8c537a17d27aa21ba777abf26KMAGUCAAAABQ&amp;iis=Job%20Board%20-%20Recruitment%20Marketing&amp;iisn=LinkedIn")</f>
      </c>
    </row>
    <row r="1047">
      <c r="A1047" t="inlineStr">
        <is>
          <t>PayPal</t>
        </is>
      </c>
      <c r="B1047" t="inlineStr">
        <is>
          <t>2026-04-01 05:44:09</t>
        </is>
      </c>
      <c r="C1047" t="inlineStr">
        <is>
          <t>6994e428ce78e77b4fd8f521</t>
        </is>
      </c>
      <c r="D1047" t="inlineStr">
        <is>
          <t>Sr Machine Learning Engineer</t>
        </is>
      </c>
      <c r="E1047" t="inlineStr">
        <is>
          <t>1_Discovered</t>
        </is>
      </c>
      <c r="F1047" t="inlineStr">
        <is>
          <t>fanout_batch</t>
        </is>
      </c>
      <c r="G1047" t="inlineStr">
        <is>
          <t>retarget</t>
        </is>
      </c>
      <c r="H1047" t="inlineStr">
        <is>
          <t>seed_h2o_ai_engineer</t>
        </is>
      </c>
      <c r="I1047" t="inlineStr">
        <is>
          <t>H2O AI Engineer</t>
        </is>
      </c>
      <c r="J1047"/>
      <c r="K1047"/>
      <c r="L1047"/>
      <c r="M1047"/>
      <c r="N1047">
        <v>94.5</v>
      </c>
      <c r="O1047" t="inlineStr">
        <is>
          <t>pass</t>
        </is>
      </c>
      <c r="P1047">
        <f>HYPERLINK("file:///Users/jingyizhang/Documents/Playground/projects/local_job_resume_pipeline/data/deliverables/resume_portfolio/by_company/paypal/2026-04-01/6994e428ce78e77b4fd8f521/resume.md","/Users/jingyizhang/Documents/Playground/projects/local_job_resume_pipeline/data/deliverables/resume_portfolio/by_company/paypal/2026-04-01/6994e428ce78e77b4fd8f521/resume.md")</f>
      </c>
      <c r="Q1047"/>
      <c r="R1047">
        <f>HYPERLINK("https://paypal.eightfold.ai/careers?domain=paypal.com&amp;sort_by=relevance&amp;query=R0134765&amp;Codes=W-LINKEDIN","https://paypal.eightfold.ai/careers?domain=paypal.com&amp;sort_by=relevance&amp;query=R0134765&amp;Codes=W-LINKEDIN")</f>
      </c>
    </row>
    <row r="1048">
      <c r="A1048" t="inlineStr">
        <is>
          <t>OCLC</t>
        </is>
      </c>
      <c r="B1048" t="inlineStr">
        <is>
          <t>2026-04-01 05:43:16</t>
        </is>
      </c>
      <c r="C1048" t="inlineStr">
        <is>
          <t>6993b60cce78e77b4fd78b60</t>
        </is>
      </c>
      <c r="D1048" t="inlineStr">
        <is>
          <t>Software Engineer</t>
        </is>
      </c>
      <c r="E1048" t="inlineStr">
        <is>
          <t>1_Discovered</t>
        </is>
      </c>
      <c r="F1048" t="inlineStr">
        <is>
          <t>fanout_batch</t>
        </is>
      </c>
      <c r="G1048" t="inlineStr">
        <is>
          <t>retarget</t>
        </is>
      </c>
      <c r="H1048" t="inlineStr">
        <is>
          <t>seed_paypal_java_backend</t>
        </is>
      </c>
      <c r="I1048" t="inlineStr">
        <is>
          <t>PayPal Java Backend</t>
        </is>
      </c>
      <c r="J1048"/>
      <c r="K1048"/>
      <c r="L1048"/>
      <c r="M1048"/>
      <c r="N1048">
        <v>93.3</v>
      </c>
      <c r="O1048" t="inlineStr">
        <is>
          <t>pass</t>
        </is>
      </c>
      <c r="P1048">
        <f>HYPERLINK("file:///Users/jingyizhang/Documents/Playground/projects/local_job_resume_pipeline/data/deliverables/resume_portfolio/by_company/oclc/2026-04-01/6993b60cce78e77b4fd78b60/resume.md","/Users/jingyizhang/Documents/Playground/projects/local_job_resume_pipeline/data/deliverables/resume_portfolio/by_company/oclc/2026-04-01/6993b60cce78e77b4fd78b60/resume.md")</f>
      </c>
      <c r="Q1048"/>
      <c r="R1048">
        <f>HYPERLINK("https://oclc.wd1.myworkdayjobs.com/OCLC_Careers/job/Dublin-OH--Hybrid/Software-Engineer_R0003753?source=LinkedIn","https://oclc.wd1.myworkdayjobs.com/OCLC_Careers/job/Dublin-OH--Hybrid/Software-Engineer_R0003753?source=LinkedIn")</f>
      </c>
    </row>
    <row r="1049">
      <c r="A1049" t="inlineStr">
        <is>
          <t>Abby Care</t>
        </is>
      </c>
      <c r="B1049" t="inlineStr">
        <is>
          <t>2026-04-01 05:42:56</t>
        </is>
      </c>
      <c r="C1049" t="inlineStr">
        <is>
          <t>695c9f975e4962051b59cd4a</t>
        </is>
      </c>
      <c r="D1049" t="inlineStr">
        <is>
          <t>Applied AI Engineer</t>
        </is>
      </c>
      <c r="E1049" t="inlineStr">
        <is>
          <t>1_Discovered</t>
        </is>
      </c>
      <c r="F1049" t="inlineStr">
        <is>
          <t>seed_validation</t>
        </is>
      </c>
      <c r="G1049" t="inlineStr">
        <is>
          <t>reuse</t>
        </is>
      </c>
      <c r="H1049" t="inlineStr">
        <is>
          <t>seed_glean_ml_infra</t>
        </is>
      </c>
      <c r="I1049" t="inlineStr">
        <is>
          <t>Glean ML Infrastructure</t>
        </is>
      </c>
      <c r="J1049"/>
      <c r="K1049"/>
      <c r="L1049"/>
      <c r="M1049"/>
      <c r="N1049"/>
      <c r="O1049"/>
      <c r="P1049"/>
      <c r="Q1049"/>
      <c r="R1049">
        <f>HYPERLINK("https://jobs.ashbyhq.com/abby-care/5b46d821-ab56-46d7-b55f-9dcc2e4de5f4/application?utm_source=LinkedInPosting","https://jobs.ashbyhq.com/abby-care/5b46d821-ab56-46d7-b55f-9dcc2e4de5f4/application?utm_source=LinkedInPosting")</f>
      </c>
    </row>
    <row r="1050">
      <c r="A1050" t="inlineStr">
        <is>
          <t>Zoox</t>
        </is>
      </c>
      <c r="B1050" t="inlineStr">
        <is>
          <t>2026-04-01 05:41:00</t>
        </is>
      </c>
      <c r="C1050" t="inlineStr">
        <is>
          <t>69252701d47de4798eccd7d9</t>
        </is>
      </c>
      <c r="D1050" t="inlineStr">
        <is>
          <t>Software Engineer - Automation Tools and Infrastructure</t>
        </is>
      </c>
      <c r="E1050" t="inlineStr">
        <is>
          <t>1_Discovered</t>
        </is>
      </c>
      <c r="F1050" t="inlineStr">
        <is>
          <t>fanout_batch</t>
        </is>
      </c>
      <c r="G1050" t="inlineStr">
        <is>
          <t>retarget</t>
        </is>
      </c>
      <c r="H1050" t="inlineStr">
        <is>
          <t>seed_google_cloud_infra_anchor_candidate</t>
        </is>
      </c>
      <c r="I1050" t="inlineStr">
        <is>
          <t>Google Cloud Infra Anchor</t>
        </is>
      </c>
      <c r="J1050" t="inlineStr">
        <is>
          <t>google_cloud_infra_mainline</t>
        </is>
      </c>
      <c r="K1050" t="inlineStr">
        <is>
          <t>mainline</t>
        </is>
      </c>
      <c r="L1050"/>
      <c r="M1050"/>
      <c r="N1050">
        <v>94.3</v>
      </c>
      <c r="O1050" t="inlineStr">
        <is>
          <t>pass</t>
        </is>
      </c>
      <c r="P1050">
        <f>HYPERLINK("file:///Users/jingyizhang/Documents/Playground/projects/local_job_resume_pipeline/data/deliverables/resume_portfolio/by_company/zoox/2026-04-01/69252701d47de4798eccd7d9/resume.md","/Users/jingyizhang/Documents/Playground/projects/local_job_resume_pipeline/data/deliverables/resume_portfolio/by_company/zoox/2026-04-01/69252701d47de4798eccd7d9/resume.md")</f>
      </c>
      <c r="Q1050"/>
      <c r="R1050">
        <f>HYPERLINK("https://jobs.lever.co/zoox/77b65c9f-0f61-4395-bd38-051e2f27b8d2/apply?source=jobright","https://jobs.lever.co/zoox/77b65c9f-0f61-4395-bd38-051e2f27b8d2/apply?source=jobright")</f>
      </c>
    </row>
    <row r="1051">
      <c r="A1051" t="inlineStr">
        <is>
          <t>Waystar</t>
        </is>
      </c>
      <c r="B1051" t="inlineStr">
        <is>
          <t>2026-04-01 05:12:24</t>
        </is>
      </c>
      <c r="C1051" t="inlineStr">
        <is>
          <t>69c7850faa3c2c1995e1916c</t>
        </is>
      </c>
      <c r="D1051" t="inlineStr">
        <is>
          <t>Machine Learning Platform Engineer - Backend Services</t>
        </is>
      </c>
      <c r="E1051" t="inlineStr">
        <is>
          <t>1_Discovered</t>
        </is>
      </c>
      <c r="F1051" t="inlineStr">
        <is>
          <t>fanout_batch</t>
        </is>
      </c>
      <c r="G1051" t="inlineStr">
        <is>
          <t>retarget</t>
        </is>
      </c>
      <c r="H1051" t="inlineStr">
        <is>
          <t>seed_aws_support_backend_anchor</t>
        </is>
      </c>
      <c r="I1051" t="inlineStr">
        <is>
          <t>AWS Support Backend Anchor</t>
        </is>
      </c>
      <c r="J1051"/>
      <c r="K1051"/>
      <c r="L1051"/>
      <c r="M1051"/>
      <c r="N1051">
        <v>87.7</v>
      </c>
      <c r="O1051" t="inlineStr">
        <is>
          <t>fail</t>
        </is>
      </c>
      <c r="P1051">
        <f>HYPERLINK("file:///Users/jingyizhang/Documents/Playground/projects/local_job_resume_pipeline/data/deliverables/resume_portfolio/by_company/waystar/2026-04-01/69c7850faa3c2c1995e1916c/resume.md","/Users/jingyizhang/Documents/Playground/projects/local_job_resume_pipeline/data/deliverables/resume_portfolio/by_company/waystar/2026-04-01/69c7850faa3c2c1995e1916c/resume.md")</f>
      </c>
      <c r="Q1051"/>
      <c r="R1051">
        <f>HYPERLINK("https://careers.waystar.com/5EE1614B92C04E64A0D3D310A397D85D/job/?vs=1606&amp;utm_source=LinkedIn.com-DE&amp;utm_medium=Social%20Media&amp;utm_campaign=LinkedIn.com","https://careers.waystar.com/5EE1614B92C04E64A0D3D310A397D85D/job/?vs=1606&amp;utm_source=LinkedIn.com-DE&amp;utm_medium=Social%20Media&amp;utm_campaign=LinkedIn.com")</f>
      </c>
    </row>
    <row r="1052">
      <c r="A1052" t="inlineStr">
        <is>
          <t>INFOTRON</t>
        </is>
      </c>
      <c r="B1052" t="inlineStr">
        <is>
          <t>2026-04-01 04:30:11</t>
        </is>
      </c>
      <c r="C1052" t="inlineStr">
        <is>
          <t>69cd106c891d7b11cfcb5c28</t>
        </is>
      </c>
      <c r="D1052" t="inlineStr">
        <is>
          <t>Founding AI Engineer-Generative Video</t>
        </is>
      </c>
      <c r="E1052" t="inlineStr">
        <is>
          <t>1_Discovered</t>
        </is>
      </c>
      <c r="F1052" t="inlineStr">
        <is>
          <t>fanout_batch</t>
        </is>
      </c>
      <c r="G1052" t="inlineStr">
        <is>
          <t>reuse</t>
        </is>
      </c>
      <c r="H1052" t="inlineStr">
        <is>
          <t>seed_linkedin_mle_foundation</t>
        </is>
      </c>
      <c r="I1052" t="inlineStr">
        <is>
          <t>LinkedIn MLE Foundation</t>
        </is>
      </c>
      <c r="J1052"/>
      <c r="K1052"/>
      <c r="L1052"/>
      <c r="M1052"/>
      <c r="N1052"/>
      <c r="O1052"/>
      <c r="P1052"/>
      <c r="Q1052"/>
      <c r="R1052">
        <f>HYPERLINK("https://www.linkedin.com/jobs/view/4396454373","https://www.linkedin.com/jobs/view/4396454373")</f>
      </c>
    </row>
    <row r="1053">
      <c r="A1053" t="inlineStr">
        <is>
          <t>Cadence</t>
        </is>
      </c>
      <c r="B1053" t="inlineStr">
        <is>
          <t>2026-04-01 03:09:21</t>
        </is>
      </c>
      <c r="C1053" t="inlineStr">
        <is>
          <t>69af4318dfaeda6ff5976464</t>
        </is>
      </c>
      <c r="D1053" t="inlineStr">
        <is>
          <t>AI Engineer</t>
        </is>
      </c>
      <c r="E1053" t="inlineStr">
        <is>
          <t>1_Discovered</t>
        </is>
      </c>
      <c r="F1053" t="inlineStr">
        <is>
          <t>fanout_batch</t>
        </is>
      </c>
      <c r="G1053" t="inlineStr">
        <is>
          <t>retarget</t>
        </is>
      </c>
      <c r="H1053" t="inlineStr">
        <is>
          <t>seed_bytedance_ml_grad</t>
        </is>
      </c>
      <c r="I1053" t="inlineStr">
        <is>
          <t>ByteDance ML Grad</t>
        </is>
      </c>
      <c r="J1053"/>
      <c r="K1053"/>
      <c r="L1053"/>
      <c r="M1053"/>
      <c r="N1053">
        <v>91.9</v>
      </c>
      <c r="O1053" t="inlineStr">
        <is>
          <t>conditional_pass</t>
        </is>
      </c>
      <c r="P1053">
        <f>HYPERLINK("file:///Users/jingyizhang/Documents/Playground/projects/local_job_resume_pipeline/data/deliverables/resume_portfolio/by_company/cadence/2026-04-01/69af4318dfaeda6ff5976464/resume.md","/Users/jingyizhang/Documents/Playground/projects/local_job_resume_pipeline/data/deliverables/resume_portfolio/by_company/cadence/2026-04-01/69af4318dfaeda6ff5976464/resume.md")</f>
      </c>
      <c r="Q1053"/>
      <c r="R1053">
        <f>HYPERLINK("https://cadence.wd1.myworkdayjobs.com/External_Careers/job/SAN-JOSE/Software-Engineer-II_R53569-1?source=LinkedIn","https://cadence.wd1.myworkdayjobs.com/External_Careers/job/SAN-JOSE/Software-Engineer-II_R53569-1?source=LinkedIn")</f>
      </c>
    </row>
    <row r="1054">
      <c r="A1054" t="inlineStr">
        <is>
          <t>Orchard</t>
        </is>
      </c>
      <c r="B1054" t="inlineStr">
        <is>
          <t>2026-04-01 01:12:41</t>
        </is>
      </c>
      <c r="C1054" t="inlineStr">
        <is>
          <t>69ccb759cfdc6132f9412768</t>
        </is>
      </c>
      <c r="D1054" t="inlineStr">
        <is>
          <t>Machine Learning Engineer</t>
        </is>
      </c>
      <c r="E1054" t="inlineStr">
        <is>
          <t>1_Discovered</t>
        </is>
      </c>
      <c r="F1054" t="inlineStr">
        <is>
          <t>fanout_batch</t>
        </is>
      </c>
      <c r="G1054" t="inlineStr">
        <is>
          <t>retarget</t>
        </is>
      </c>
      <c r="H1054" t="inlineStr">
        <is>
          <t>seed_amazon_agi_ml_anchor</t>
        </is>
      </c>
      <c r="I1054" t="inlineStr">
        <is>
          <t>Amazon AGI/LLM Anchor</t>
        </is>
      </c>
      <c r="J1054" t="inlineStr">
        <is>
          <t>amazon_ai_ads_mainline</t>
        </is>
      </c>
      <c r="K1054" t="inlineStr">
        <is>
          <t>mainline</t>
        </is>
      </c>
      <c r="L1054"/>
      <c r="M1054"/>
      <c r="N1054">
        <v>82.3</v>
      </c>
      <c r="O1054" t="inlineStr">
        <is>
          <t>fail</t>
        </is>
      </c>
      <c r="P1054">
        <f>HYPERLINK("file:///Users/jingyizhang/Documents/Playground/projects/local_job_resume_pipeline/data/deliverables/resume_portfolio/by_company/orchard/2026-04-01/69ccb759cfdc6132f9412768/resume.md","/Users/jingyizhang/Documents/Playground/projects/local_job_resume_pipeline/data/deliverables/resume_portfolio/by_company/orchard/2026-04-01/69ccb759cfdc6132f9412768/resume.md")</f>
      </c>
      <c r="Q1054"/>
      <c r="R1054">
        <f>HYPERLINK("https://jobs.ashbyhq.com/orchard/58cc4c3f-3ef2-4fe3-a81f-160916e67aaa","https://jobs.ashbyhq.com/orchard/58cc4c3f-3ef2-4fe3-a81f-160916e67aaa")</f>
      </c>
    </row>
    <row r="1055">
      <c r="A1055" t="inlineStr">
        <is>
          <t>Vorto</t>
        </is>
      </c>
      <c r="B1055" t="inlineStr">
        <is>
          <t>2026-03-31 23:44:56</t>
        </is>
      </c>
      <c r="C1055" t="inlineStr">
        <is>
          <t>69cca2c8cfdc6132f94115cd</t>
        </is>
      </c>
      <c r="D1055" t="inlineStr">
        <is>
          <t>Full Stack Engineer</t>
        </is>
      </c>
      <c r="E1055" t="inlineStr">
        <is>
          <t>1_Discovered</t>
        </is>
      </c>
      <c r="F1055" t="inlineStr">
        <is>
          <t>fanout_batch</t>
        </is>
      </c>
      <c r="G1055" t="inlineStr">
        <is>
          <t>retarget</t>
        </is>
      </c>
      <c r="H1055" t="inlineStr">
        <is>
          <t>seed_egen_fullstack_node</t>
        </is>
      </c>
      <c r="I1055" t="inlineStr">
        <is>
          <t>Egen Fullstack Node</t>
        </is>
      </c>
      <c r="J1055"/>
      <c r="K1055"/>
      <c r="L1055"/>
      <c r="M1055"/>
      <c r="N1055">
        <v>94.2</v>
      </c>
      <c r="O1055" t="inlineStr">
        <is>
          <t>pass</t>
        </is>
      </c>
      <c r="P1055">
        <f>HYPERLINK("file:///Users/jingyizhang/Documents/Playground/projects/local_job_resume_pipeline/data/deliverables/resume_portfolio/by_company/vorto/2026-03-31/69cca2c8cfdc6132f94115cd/resume.md","/Users/jingyizhang/Documents/Playground/projects/local_job_resume_pipeline/data/deliverables/resume_portfolio/by_company/vorto/2026-03-31/69cca2c8cfdc6132f94115cd/resume.md")</f>
      </c>
      <c r="Q1055"/>
      <c r="R1055">
        <f>HYPERLINK("https://www.linkedin.com/jobs/view/4394336558","https://www.linkedin.com/jobs/view/4394336558")</f>
      </c>
    </row>
    <row r="1056">
      <c r="A1056" t="inlineStr">
        <is>
          <t>Ondo Finance</t>
        </is>
      </c>
      <c r="B1056" t="inlineStr">
        <is>
          <t>2026-03-31 22:42:35</t>
        </is>
      </c>
      <c r="C1056" t="inlineStr">
        <is>
          <t>69cc942b891d7b11cfcb01d2</t>
        </is>
      </c>
      <c r="D1056" t="inlineStr">
        <is>
          <t>Full-Stack Software Engineer</t>
        </is>
      </c>
      <c r="E1056" t="inlineStr">
        <is>
          <t>1_Discovered</t>
        </is>
      </c>
      <c r="F1056" t="inlineStr">
        <is>
          <t>fanout_batch</t>
        </is>
      </c>
      <c r="G1056" t="inlineStr">
        <is>
          <t>retarget</t>
        </is>
      </c>
      <c r="H1056" t="inlineStr">
        <is>
          <t>seed_egen_fullstack_node</t>
        </is>
      </c>
      <c r="I1056" t="inlineStr">
        <is>
          <t>Egen Fullstack Node</t>
        </is>
      </c>
      <c r="J1056"/>
      <c r="K1056"/>
      <c r="L1056"/>
      <c r="M1056"/>
      <c r="N1056">
        <v>94.4</v>
      </c>
      <c r="O1056" t="inlineStr">
        <is>
          <t>pass</t>
        </is>
      </c>
      <c r="P1056">
        <f>HYPERLINK("file:///Users/jingyizhang/Documents/Playground/projects/local_job_resume_pipeline/data/deliverables/resume_portfolio/by_company/ondo-finance/2026-03-31/69cc942b891d7b11cfcb01d2/resume.md","/Users/jingyizhang/Documents/Playground/projects/local_job_resume_pipeline/data/deliverables/resume_portfolio/by_company/ondo-finance/2026-03-31/69cc942b891d7b11cfcb01d2/resume.md")</f>
      </c>
      <c r="Q1056"/>
      <c r="R1056">
        <f>HYPERLINK("https://jobs.gem.com/ondo-finance/am9icG9zdDrh27HT0Wob7hddUW8uTKFs","https://jobs.gem.com/ondo-finance/am9icG9zdDrh27HT0Wob7hddUW8uTKFs")</f>
      </c>
    </row>
    <row r="1057">
      <c r="A1057" t="inlineStr">
        <is>
          <t>Huron</t>
        </is>
      </c>
      <c r="B1057" t="inlineStr">
        <is>
          <t>2026-03-31 22:10:19</t>
        </is>
      </c>
      <c r="C1057" t="inlineStr">
        <is>
          <t>69cc8c9b891d7b11cfcafc5f</t>
        </is>
      </c>
      <c r="D1057" t="inlineStr">
        <is>
          <t>AI/ML Engineer (Senior Associate) - Remote</t>
        </is>
      </c>
      <c r="E1057" t="inlineStr">
        <is>
          <t>1_Discovered</t>
        </is>
      </c>
      <c r="F1057" t="inlineStr">
        <is>
          <t>retarget_trial</t>
        </is>
      </c>
      <c r="G1057" t="inlineStr">
        <is>
          <t>reuse</t>
        </is>
      </c>
      <c r="H1057" t="inlineStr">
        <is>
          <t>candidate_h2o_ai_engineer</t>
        </is>
      </c>
      <c r="I1057" t="inlineStr">
        <is>
          <t>H2O AI Engineer</t>
        </is>
      </c>
      <c r="J1057"/>
      <c r="K1057"/>
      <c r="L1057"/>
      <c r="M1057"/>
      <c r="N1057"/>
      <c r="O1057"/>
      <c r="P1057"/>
      <c r="Q1057"/>
      <c r="R1057">
        <f>HYPERLINK("https://huron.wd1.myworkdayjobs.com/huroncareers/job/Chicago---550-Van-Buren/AI-ML-Engineer--Senior-Associate----Remote_JR-0014607?source=LinkedIn_corporate_page","https://huron.wd1.myworkdayjobs.com/huroncareers/job/Chicago---550-Van-Buren/AI-ML-Engineer--Senior-Associate----Remote_JR-0014607?source=LinkedIn_corporate_page")</f>
      </c>
    </row>
    <row r="1058">
      <c r="A1058" t="inlineStr">
        <is>
          <t>Electronic Arts (EA)</t>
        </is>
      </c>
      <c r="B1058" t="inlineStr">
        <is>
          <t>2026-03-31 21:52:05</t>
        </is>
      </c>
      <c r="C1058" t="inlineStr">
        <is>
          <t>69cc8855cfdc6132f940f397</t>
        </is>
      </c>
      <c r="D1058" t="inlineStr">
        <is>
          <t>Software Engineer - Machine Learning (FC QVE)</t>
        </is>
      </c>
      <c r="E1058" t="inlineStr">
        <is>
          <t>1_Discovered</t>
        </is>
      </c>
      <c r="F1058" t="inlineStr">
        <is>
          <t>fanout_batch</t>
        </is>
      </c>
      <c r="G1058" t="inlineStr">
        <is>
          <t>retarget</t>
        </is>
      </c>
      <c r="H1058" t="inlineStr">
        <is>
          <t>seed_amazon_agi_ml_anchor</t>
        </is>
      </c>
      <c r="I1058" t="inlineStr">
        <is>
          <t>Amazon AGI/LLM Anchor</t>
        </is>
      </c>
      <c r="J1058" t="inlineStr">
        <is>
          <t>amazon_ai_ads_mainline</t>
        </is>
      </c>
      <c r="K1058" t="inlineStr">
        <is>
          <t>mainline</t>
        </is>
      </c>
      <c r="L1058"/>
      <c r="M1058"/>
      <c r="N1058">
        <v>90.7</v>
      </c>
      <c r="O1058" t="inlineStr">
        <is>
          <t>conditional_pass</t>
        </is>
      </c>
      <c r="P1058">
        <f>HYPERLINK("file:///Users/jingyizhang/Documents/Playground/projects/local_job_resume_pipeline/data/deliverables/resume_portfolio/by_company/electronic-arts-ea/2026-03-31/69cc8855cfdc6132f940f397/resume.md","/Users/jingyizhang/Documents/Playground/projects/local_job_resume_pipeline/data/deliverables/resume_portfolio/by_company/electronic-arts-ea/2026-03-31/69cc8855cfdc6132f940f397/resume.md")</f>
      </c>
      <c r="Q1058"/>
      <c r="R1058">
        <f>HYPERLINK("https://jobs.ea.com/en_US/careers/JobDetail/Software-Engineer-Machine-Learning/213585?source=LinkedIn","https://jobs.ea.com/en_US/careers/JobDetail/Software-Engineer-Machine-Learning/213585?source=LinkedIn")</f>
      </c>
    </row>
    <row r="1059">
      <c r="A1059" t="inlineStr">
        <is>
          <t>Luminai</t>
        </is>
      </c>
      <c r="B1059" t="inlineStr">
        <is>
          <t>2026-03-31 21:22:10</t>
        </is>
      </c>
      <c r="C1059" t="inlineStr">
        <is>
          <t>69cc8152366bb95ba54f0d79</t>
        </is>
      </c>
      <c r="D1059" t="inlineStr">
        <is>
          <t>Applied AI Engineer</t>
        </is>
      </c>
      <c r="E1059" t="inlineStr">
        <is>
          <t>1_Discovered</t>
        </is>
      </c>
      <c r="F1059" t="inlineStr">
        <is>
          <t>fanout_batch</t>
        </is>
      </c>
      <c r="G1059" t="inlineStr">
        <is>
          <t>retarget</t>
        </is>
      </c>
      <c r="H1059" t="inlineStr">
        <is>
          <t>seed_bytedance_ml_grad</t>
        </is>
      </c>
      <c r="I1059" t="inlineStr">
        <is>
          <t>ByteDance ML Grad</t>
        </is>
      </c>
      <c r="J1059"/>
      <c r="K1059"/>
      <c r="L1059"/>
      <c r="M1059"/>
      <c r="N1059">
        <v>91.7</v>
      </c>
      <c r="O1059" t="inlineStr">
        <is>
          <t>conditional_pass</t>
        </is>
      </c>
      <c r="P1059">
        <f>HYPERLINK("file:///Users/jingyizhang/Documents/Playground/projects/local_job_resume_pipeline/data/deliverables/resume_portfolio/by_company/luminai/2026-03-31/69cc8152366bb95ba54f0d79/resume.md","/Users/jingyizhang/Documents/Playground/projects/local_job_resume_pipeline/data/deliverables/resume_portfolio/by_company/luminai/2026-03-31/69cc8152366bb95ba54f0d79/resume.md")</f>
      </c>
      <c r="Q1059"/>
      <c r="R1059">
        <f>HYPERLINK("https://jobs.ashbyhq.com/luminai/4b580dd6-0675-4f55-86c7-6d694285b6d8/application?utm_source=lo95Qrb3Qg","https://jobs.ashbyhq.com/luminai/4b580dd6-0675-4f55-86c7-6d694285b6d8/application?utm_source=lo95Qrb3Qg")</f>
      </c>
    </row>
    <row r="1060">
      <c r="A1060" t="inlineStr">
        <is>
          <t>Eightfold AI</t>
        </is>
      </c>
      <c r="B1060" t="inlineStr">
        <is>
          <t>2026-03-31 20:54:43</t>
        </is>
      </c>
      <c r="C1060" t="inlineStr">
        <is>
          <t>69cc7ae3366bb95ba54efb65</t>
        </is>
      </c>
      <c r="D1060" t="inlineStr">
        <is>
          <t>Machine Learning Engineer</t>
        </is>
      </c>
      <c r="E1060" t="inlineStr">
        <is>
          <t>1_Discovered</t>
        </is>
      </c>
      <c r="F1060" t="inlineStr">
        <is>
          <t>fanout_batch</t>
        </is>
      </c>
      <c r="G1060" t="inlineStr">
        <is>
          <t>retarget</t>
        </is>
      </c>
      <c r="H1060" t="inlineStr">
        <is>
          <t>seed_linkedin_mle_foundation</t>
        </is>
      </c>
      <c r="I1060" t="inlineStr">
        <is>
          <t>LinkedIn MLE Foundation</t>
        </is>
      </c>
      <c r="J1060"/>
      <c r="K1060"/>
      <c r="L1060"/>
      <c r="M1060"/>
      <c r="N1060">
        <v>83.7</v>
      </c>
      <c r="O1060" t="inlineStr">
        <is>
          <t>fail</t>
        </is>
      </c>
      <c r="P1060">
        <f>HYPERLINK("file:///Users/jingyizhang/Documents/Playground/projects/local_job_resume_pipeline/data/deliverables/resume_portfolio/by_company/eightfold-ai/2026-03-31/69cc7ae3366bb95ba54efb65/resume.md","/Users/jingyizhang/Documents/Playground/projects/local_job_resume_pipeline/data/deliverables/resume_portfolio/by_company/eightfold-ai/2026-03-31/69cc7ae3366bb95ba54efb65/resume.md")</f>
      </c>
      <c r="Q1060"/>
      <c r="R1060">
        <f>HYPERLINK("https://app.eightfold.ai/careers/job/68760463319?domain=volkscience.com","https://app.eightfold.ai/careers/job/68760463319?domain=volkscience.com")</f>
      </c>
    </row>
    <row r="1061">
      <c r="A1061" t="inlineStr">
        <is>
          <t>EXL</t>
        </is>
      </c>
      <c r="B1061" t="inlineStr">
        <is>
          <t>2026-03-31 19:33:35</t>
        </is>
      </c>
      <c r="C1061" t="inlineStr">
        <is>
          <t>69cc936c366bb95ba54f3134</t>
        </is>
      </c>
      <c r="D1061" t="inlineStr">
        <is>
          <t>Data Scientist</t>
        </is>
      </c>
      <c r="E1061" t="inlineStr">
        <is>
          <t>1_Discovered</t>
        </is>
      </c>
      <c r="F1061" t="inlineStr">
        <is>
          <t>fanout_batch</t>
        </is>
      </c>
      <c r="G1061" t="inlineStr">
        <is>
          <t>retarget</t>
        </is>
      </c>
      <c r="H1061" t="inlineStr">
        <is>
          <t>seed_jpmc_data_mlops_anchor</t>
        </is>
      </c>
      <c r="I1061" t="inlineStr">
        <is>
          <t>JPMorganChase Data Platform/MLOps Anchor</t>
        </is>
      </c>
      <c r="J1061" t="inlineStr">
        <is>
          <t>jpmc_data_mlops_mainline</t>
        </is>
      </c>
      <c r="K1061" t="inlineStr">
        <is>
          <t>mainline</t>
        </is>
      </c>
      <c r="L1061"/>
      <c r="M1061"/>
      <c r="N1061">
        <v>93.7</v>
      </c>
      <c r="O1061" t="inlineStr">
        <is>
          <t>pass</t>
        </is>
      </c>
      <c r="P1061">
        <f>HYPERLINK("file:///Users/jingyizhang/Documents/Playground/projects/local_job_resume_pipeline/data/deliverables/resume_portfolio/by_company/exl/2026-03-31/69cc936c366bb95ba54f3134/resume.md","/Users/jingyizhang/Documents/Playground/projects/local_job_resume_pipeline/data/deliverables/resume_portfolio/by_company/exl/2026-03-31/69cc936c366bb95ba54f3134/resume.md")</f>
      </c>
      <c r="Q1061"/>
      <c r="R1061">
        <f>HYPERLINK("https://www.linkedin.com/jobs/view/4392477935","https://www.linkedin.com/jobs/view/4392477935")</f>
      </c>
    </row>
    <row r="1062">
      <c r="A1062" t="inlineStr">
        <is>
          <t>Kohl's</t>
        </is>
      </c>
      <c r="B1062" t="inlineStr">
        <is>
          <t>2026-03-31 19:15:26</t>
        </is>
      </c>
      <c r="C1062" t="inlineStr">
        <is>
          <t>69be41ce482822729301078d</t>
        </is>
      </c>
      <c r="D1062" t="inlineStr">
        <is>
          <t>Machine Learning Engineer II (Remote)</t>
        </is>
      </c>
      <c r="E1062" t="inlineStr">
        <is>
          <t>1_Discovered</t>
        </is>
      </c>
      <c r="F1062" t="inlineStr">
        <is>
          <t>fanout_batch</t>
        </is>
      </c>
      <c r="G1062" t="inlineStr">
        <is>
          <t>retarget</t>
        </is>
      </c>
      <c r="H1062" t="inlineStr">
        <is>
          <t>seed_h2o_ai_engineer</t>
        </is>
      </c>
      <c r="I1062" t="inlineStr">
        <is>
          <t>H2O AI Engineer</t>
        </is>
      </c>
      <c r="J1062"/>
      <c r="K1062"/>
      <c r="L1062"/>
      <c r="M1062"/>
      <c r="N1062">
        <v>85.3</v>
      </c>
      <c r="O1062" t="inlineStr">
        <is>
          <t>fail</t>
        </is>
      </c>
      <c r="P1062">
        <f>HYPERLINK("file:///Users/jingyizhang/Documents/Playground/projects/local_job_resume_pipeline/data/deliverables/resume_portfolio/by_company/kohl-s/2026-03-31/69be41ce482822729301078d/resume.md","/Users/jingyizhang/Documents/Playground/projects/local_job_resume_pipeline/data/deliverables/resume_portfolio/by_company/kohl-s/2026-03-31/69be41ce482822729301078d/resume.md")</f>
      </c>
      <c r="Q1062"/>
      <c r="R1062">
        <f>HYPERLINK("https://careers.kohls.com/job/KLHKUSR468968/Machine-Learning-Engineer-II-Remote?source=LinkedIn","https://careers.kohls.com/job/KLHKUSR468968/Machine-Learning-Engineer-II-Remote?source=LinkedIn")</f>
      </c>
    </row>
    <row r="1063">
      <c r="A1063" t="inlineStr">
        <is>
          <t>HarbourVest Partners</t>
        </is>
      </c>
      <c r="B1063" t="inlineStr">
        <is>
          <t>2026-03-31 18:46:11</t>
        </is>
      </c>
      <c r="C1063" t="inlineStr">
        <is>
          <t>69cc8379891d7b11cfcae5f2</t>
        </is>
      </c>
      <c r="D1063" t="inlineStr">
        <is>
          <t>Senior Software Engineer</t>
        </is>
      </c>
      <c r="E1063" t="inlineStr">
        <is>
          <t>1_Discovered</t>
        </is>
      </c>
      <c r="F1063" t="inlineStr">
        <is>
          <t>seed_source</t>
        </is>
      </c>
      <c r="G1063" t="inlineStr">
        <is>
          <t>seed_source</t>
        </is>
      </c>
      <c r="H1063" t="inlineStr">
        <is>
          <t>seed_harbourvest_backend_data</t>
        </is>
      </c>
      <c r="I1063" t="inlineStr">
        <is>
          <t>HarbourVest Backend Data</t>
        </is>
      </c>
      <c r="J1063"/>
      <c r="K1063"/>
      <c r="L1063"/>
      <c r="M1063"/>
      <c r="N1063">
        <v>96.8</v>
      </c>
      <c r="O1063" t="inlineStr">
        <is>
          <t>pass</t>
        </is>
      </c>
      <c r="P1063">
        <f>HYPERLINK("file:///Users/jingyizhang/Documents/Playground/projects/local_job_resume_pipeline/data/deliverables/resume_portfolio/by_company/harbourvest-partners/2026-03-31/69cc8379891d7b11cfcae5f2/resume.md","/Users/jingyizhang/Documents/Playground/projects/local_job_resume_pipeline/data/deliverables/resume_portfolio/by_company/harbourvest-partners/2026-03-31/69cc8379891d7b11cfcae5f2/resume.md")</f>
      </c>
      <c r="Q1063"/>
      <c r="R1063">
        <f>HYPERLINK("https://harbourvest.wd5.myworkdayjobs.com/HVP/job/Boston/Senior-Software-Engineer_R2310","https://harbourvest.wd5.myworkdayjobs.com/HVP/job/Boston/Senior-Software-Engineer_R2310")</f>
      </c>
    </row>
    <row r="1064">
      <c r="A1064" t="inlineStr">
        <is>
          <t>Apex Fintech Solutions</t>
        </is>
      </c>
      <c r="B1064" t="inlineStr">
        <is>
          <t>2026-03-31 09:11:53</t>
        </is>
      </c>
      <c r="C1064" t="inlineStr">
        <is>
          <t>697817c388e2b47213bc16d2</t>
        </is>
      </c>
      <c r="D1064" t="inlineStr">
        <is>
          <t>Software Engineer I (Java)</t>
        </is>
      </c>
      <c r="E1064" t="inlineStr">
        <is>
          <t>1_Discovered</t>
        </is>
      </c>
      <c r="F1064" t="inlineStr">
        <is>
          <t>retarget_trial</t>
        </is>
      </c>
      <c r="G1064" t="inlineStr">
        <is>
          <t>reuse</t>
        </is>
      </c>
      <c r="H1064" t="inlineStr">
        <is>
          <t>candidate_paypal_java_backend</t>
        </is>
      </c>
      <c r="I1064" t="inlineStr">
        <is>
          <t>PayPal Java Backend</t>
        </is>
      </c>
      <c r="J1064"/>
      <c r="K1064"/>
      <c r="L1064"/>
      <c r="M1064"/>
      <c r="N1064"/>
      <c r="O1064"/>
      <c r="P1064"/>
      <c r="Q1064"/>
      <c r="R1064">
        <f>HYPERLINK("https://apexfintechsolutions.ongig.com/jobs/technology/austin-texas-united-states-of-america/software-engineer-i-java-/JR104035?utm_source=linkedin&amp;utm_medium=referral&amp;utm_campaign=ongig-job-aggregators&amp;group=1961&amp;source=LinkedIn","https://apexfintechsolutions.ongig.com/jobs/technology/austin-texas-united-states-of-america/software-engineer-i-java-/JR104035?utm_source=linkedin&amp;utm_medium=referral&amp;utm_campaign=ongig-job-aggregators&amp;group=1961&amp;source=LinkedIn")</f>
      </c>
    </row>
    <row r="1065">
      <c r="A1065" t="inlineStr">
        <is>
          <t>Affirm</t>
        </is>
      </c>
      <c r="B1065" t="inlineStr">
        <is>
          <t>2026-03-30 17:42:43</t>
        </is>
      </c>
      <c r="C1065" t="inlineStr">
        <is>
          <t>69cafc63a8c1822476e22af9</t>
        </is>
      </c>
      <c r="D1065" t="inlineStr">
        <is>
          <t>Software Engineer II, Backend (Marketplace Performance)</t>
        </is>
      </c>
      <c r="E1065" t="inlineStr">
        <is>
          <t>1_Discovered</t>
        </is>
      </c>
      <c r="F1065" t="inlineStr">
        <is>
          <t>fanout_batch</t>
        </is>
      </c>
      <c r="G1065" t="inlineStr">
        <is>
          <t>reuse</t>
        </is>
      </c>
      <c r="H1065" t="inlineStr">
        <is>
          <t>seed_egen_fullstack_node</t>
        </is>
      </c>
      <c r="I1065" t="inlineStr">
        <is>
          <t>Egen Fullstack Node</t>
        </is>
      </c>
      <c r="J1065"/>
      <c r="K1065"/>
      <c r="L1065"/>
      <c r="M1065"/>
      <c r="N1065"/>
      <c r="O1065"/>
      <c r="P1065"/>
      <c r="Q1065"/>
      <c r="R1065">
        <f>HYPERLINK("https://boards.greenhouse.io/embed/job_app?token=7678887003&amp;utm_source=jobright","https://boards.greenhouse.io/embed/job_app?token=7678887003&amp;utm_source=jobright")</f>
      </c>
    </row>
    <row r="1066">
      <c r="A1066" t="inlineStr">
        <is>
          <t>WisdomAI</t>
        </is>
      </c>
      <c r="B1066" t="inlineStr">
        <is>
          <t>2026-03-30 15:13:51</t>
        </is>
      </c>
      <c r="C1066" t="inlineStr">
        <is>
          <t>69cad97f466f1e133aac7d39</t>
        </is>
      </c>
      <c r="D1066" t="inlineStr">
        <is>
          <t>Software Engineer, Backend</t>
        </is>
      </c>
      <c r="E1066" t="inlineStr">
        <is>
          <t>1_Discovered</t>
        </is>
      </c>
      <c r="F1066" t="inlineStr">
        <is>
          <t>seed_validation</t>
        </is>
      </c>
      <c r="G1066" t="inlineStr">
        <is>
          <t>reuse</t>
        </is>
      </c>
      <c r="H1066" t="inlineStr">
        <is>
          <t>seed_codex_amazon_sde</t>
        </is>
      </c>
      <c r="I1066" t="inlineStr">
        <is>
          <t>Amazon SDE</t>
        </is>
      </c>
      <c r="J1066" t="inlineStr">
        <is>
          <t>amazon_platform_mainline</t>
        </is>
      </c>
      <c r="K1066" t="inlineStr">
        <is>
          <t>mainline</t>
        </is>
      </c>
      <c r="L1066"/>
      <c r="M1066"/>
      <c r="N1066"/>
      <c r="O1066"/>
      <c r="P1066"/>
      <c r="Q1066"/>
      <c r="R1066">
        <f>HYPERLINK("https://jobs.ashbyhq.com/Wisdom%20AI/eee64e05-59fe-4d42-9e7a-de494c7848f7/application?utm_source=rP4OlmAqN4","https://jobs.ashbyhq.com/Wisdom%20AI/eee64e05-59fe-4d42-9e7a-de494c7848f7/application?utm_source=rP4OlmAqN4")</f>
      </c>
    </row>
    <row r="1067">
      <c r="A1067" t="inlineStr">
        <is>
          <t>AppLovin</t>
        </is>
      </c>
      <c r="B1067" t="inlineStr">
        <is>
          <t>2026-03-30 13:38:45</t>
        </is>
      </c>
      <c r="C1067" t="inlineStr">
        <is>
          <t>6897e5ed73b3a600fe8a112f</t>
        </is>
      </c>
      <c r="D1067" t="inlineStr">
        <is>
          <t>Backend Engineer, New Grad</t>
        </is>
      </c>
      <c r="E1067" t="inlineStr">
        <is>
          <t>1_Discovered</t>
        </is>
      </c>
      <c r="F1067" t="inlineStr">
        <is>
          <t>seed_validation</t>
        </is>
      </c>
      <c r="G1067" t="inlineStr">
        <is>
          <t>reuse</t>
        </is>
      </c>
      <c r="H1067" t="inlineStr">
        <is>
          <t>atomizer_07_early-career_generalist_sde_resume</t>
        </is>
      </c>
      <c r="I1067" t="inlineStr">
        <is>
          <t>07 Early-Career Generalist SDE</t>
        </is>
      </c>
      <c r="J1067"/>
      <c r="K1067"/>
      <c r="L1067"/>
      <c r="M1067"/>
      <c r="N1067"/>
      <c r="O1067"/>
      <c r="P1067"/>
      <c r="Q1067"/>
      <c r="R1067">
        <f>HYPERLINK("https://boards.greenhouse.io/embed/job_app?token=4451556006&amp;utm_source=jobright","https://boards.greenhouse.io/embed/job_app?token=4451556006&amp;utm_source=jobright")</f>
      </c>
    </row>
    <row r="1068">
      <c r="A1068" t="inlineStr">
        <is>
          <t>Spotify</t>
        </is>
      </c>
      <c r="B1068" t="inlineStr">
        <is>
          <t>2026-03-27 09:30:44</t>
        </is>
      </c>
      <c r="C1068" t="inlineStr">
        <is>
          <t>69c6949483ea553769fdbd44</t>
        </is>
      </c>
      <c r="D1068" t="inlineStr">
        <is>
          <t>Backend Engineer, Music</t>
        </is>
      </c>
      <c r="E1068" t="inlineStr">
        <is>
          <t>1_Discovered</t>
        </is>
      </c>
      <c r="F1068" t="inlineStr">
        <is>
          <t>fanout_batch</t>
        </is>
      </c>
      <c r="G1068" t="inlineStr">
        <is>
          <t>reuse</t>
        </is>
      </c>
      <c r="H1068" t="inlineStr">
        <is>
          <t>seed_spotify_backend_music</t>
        </is>
      </c>
      <c r="I1068" t="inlineStr">
        <is>
          <t>Spotify Backend Music</t>
        </is>
      </c>
      <c r="J1068"/>
      <c r="K1068"/>
      <c r="L1068"/>
      <c r="M1068"/>
      <c r="N1068"/>
      <c r="O1068"/>
      <c r="P1068"/>
      <c r="Q1068"/>
      <c r="R1068">
        <f>HYPERLINK("https://jobs.lever.co/spotify/52fe2b49-3c85-4479-b1db-2c5ab74cbcfc/apply?utm_source=jobright","https://jobs.lever.co/spotify/52fe2b49-3c85-4479-b1db-2c5ab74cbcfc/apply?utm_source=jobright")</f>
      </c>
    </row>
  </sheetData>
</worksheet>
</file>